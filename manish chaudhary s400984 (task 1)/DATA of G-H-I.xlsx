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Nothing Pro\Desktop\"/>
    </mc:Choice>
  </mc:AlternateContent>
  <xr:revisionPtr revIDLastSave="0" documentId="8_{129C6B1E-DEBB-4324-936B-B5F58575EFC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EADME" sheetId="1" r:id="rId1"/>
    <sheet name="Team-Match Data" sheetId="2" r:id="rId2"/>
    <sheet name="Team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F15" i="3" s="1"/>
  <c r="G15" i="3" s="1"/>
  <c r="D15" i="3"/>
  <c r="E14" i="3"/>
  <c r="F14" i="3" s="1"/>
  <c r="G14" i="3" s="1"/>
  <c r="D14" i="3"/>
  <c r="E13" i="3"/>
  <c r="F13" i="3" s="1"/>
  <c r="G13" i="3" s="1"/>
  <c r="D13" i="3"/>
  <c r="E12" i="3"/>
  <c r="F12" i="3" s="1"/>
  <c r="G12" i="3" s="1"/>
  <c r="D12" i="3"/>
  <c r="E11" i="3"/>
  <c r="F11" i="3" s="1"/>
  <c r="G11" i="3" s="1"/>
  <c r="D11" i="3"/>
  <c r="E10" i="3"/>
  <c r="F10" i="3" s="1"/>
  <c r="G10" i="3" s="1"/>
  <c r="D10" i="3"/>
  <c r="E9" i="3"/>
  <c r="F9" i="3" s="1"/>
  <c r="G9" i="3" s="1"/>
  <c r="D9" i="3"/>
  <c r="E8" i="3"/>
  <c r="F8" i="3" s="1"/>
  <c r="G8" i="3" s="1"/>
  <c r="D8" i="3"/>
  <c r="E7" i="3"/>
  <c r="F7" i="3" s="1"/>
  <c r="G7" i="3" s="1"/>
  <c r="D7" i="3"/>
  <c r="E6" i="3"/>
  <c r="F6" i="3" s="1"/>
  <c r="D6" i="3"/>
  <c r="J5" i="3"/>
  <c r="E5" i="3"/>
  <c r="F5" i="3" s="1"/>
  <c r="G5" i="3" s="1"/>
  <c r="D5" i="3"/>
  <c r="J4" i="3"/>
  <c r="E4" i="3"/>
  <c r="F4" i="3" s="1"/>
  <c r="D4" i="3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J6" i="3" l="1"/>
  <c r="G4" i="3"/>
  <c r="J7" i="3"/>
  <c r="G6" i="3"/>
  <c r="J8" i="3" l="1"/>
</calcChain>
</file>

<file path=xl/sharedStrings.xml><?xml version="1.0" encoding="utf-8"?>
<sst xmlns="http://schemas.openxmlformats.org/spreadsheetml/2006/main" count="294" uniqueCount="78">
  <si>
    <t>HIT140 FIFA World Cup 2026 — Groups G, H, I Dataset</t>
  </si>
  <si>
    <t>Research question</t>
  </si>
  <si>
    <t>Did teams that advanced to the Round of 32 create higher-quality scoring chances than teams eliminated, measured by xG per shot?</t>
  </si>
  <si>
    <t>Coverage</t>
  </si>
  <si>
    <t>Groups G, H and I only — 18 group-stage matches / 36 team-match rows / 12 teams.</t>
  </si>
  <si>
    <t>Primary source</t>
  </si>
  <si>
    <t>FIFA World Cup 2026 statistics, The Stats Don't Lie World Cup 2026, and FBref; match structure/results cross-checked with FIFA.</t>
  </si>
  <si>
    <t>Key variables</t>
  </si>
  <si>
    <t>Attempts at Goal (total shots) and xG (Expected Goals).</t>
  </si>
  <si>
    <t>Derived metric</t>
  </si>
  <si>
    <t>xG per shot = xG ÷ Attempts at Goal.</t>
  </si>
  <si>
    <t>Outcome label</t>
  </si>
  <si>
    <t>Advanced = appeared in the FIFA Round of 32; otherwise Eliminated.</t>
  </si>
  <si>
    <t>Important</t>
  </si>
  <si>
    <t>This is only the G-I portion.</t>
  </si>
  <si>
    <t>The formula is:
xG per shot = xG ÷ Attempts at Goal</t>
  </si>
  <si>
    <t>Group</t>
  </si>
  <si>
    <t>Match</t>
  </si>
  <si>
    <t>Date</t>
  </si>
  <si>
    <t>Team</t>
  </si>
  <si>
    <t>Opponent</t>
  </si>
  <si>
    <t>Attempts at Goal</t>
  </si>
  <si>
    <t>xG</t>
  </si>
  <si>
    <t>xG per Shot</t>
  </si>
  <si>
    <t>Outcome</t>
  </si>
  <si>
    <t>G</t>
  </si>
  <si>
    <t>M16</t>
  </si>
  <si>
    <t>2026-06-15</t>
  </si>
  <si>
    <t>Belgium</t>
  </si>
  <si>
    <t>Egypt</t>
  </si>
  <si>
    <t>Advanced</t>
  </si>
  <si>
    <t>M15</t>
  </si>
  <si>
    <t>Iran</t>
  </si>
  <si>
    <t>New Zealand</t>
  </si>
  <si>
    <t>Eliminated</t>
  </si>
  <si>
    <t>M39</t>
  </si>
  <si>
    <t>2026-06-21</t>
  </si>
  <si>
    <t>we need two row Because in one match, both teams have different shots and different xG.</t>
  </si>
  <si>
    <t>M40</t>
  </si>
  <si>
    <t>M63</t>
  </si>
  <si>
    <t>2026-06-26</t>
  </si>
  <si>
    <t>M64</t>
  </si>
  <si>
    <t>H</t>
  </si>
  <si>
    <t>M14</t>
  </si>
  <si>
    <t>Spain</t>
  </si>
  <si>
    <t>Cape Verde</t>
  </si>
  <si>
    <t>M13</t>
  </si>
  <si>
    <t>Saudi Arabia</t>
  </si>
  <si>
    <t>Uruguay</t>
  </si>
  <si>
    <t>M38</t>
  </si>
  <si>
    <t>M37</t>
  </si>
  <si>
    <t>M65</t>
  </si>
  <si>
    <t>M66</t>
  </si>
  <si>
    <t>I</t>
  </si>
  <si>
    <t>M17</t>
  </si>
  <si>
    <t>2026-06-16</t>
  </si>
  <si>
    <t>France</t>
  </si>
  <si>
    <t>Senegal</t>
  </si>
  <si>
    <t>M18</t>
  </si>
  <si>
    <t>Iraq</t>
  </si>
  <si>
    <t>Norway</t>
  </si>
  <si>
    <t>M41</t>
  </si>
  <si>
    <t>2026-06-22</t>
  </si>
  <si>
    <t>M42</t>
  </si>
  <si>
    <t>M61</t>
  </si>
  <si>
    <t>M62</t>
  </si>
  <si>
    <t>Team-Level Group-Stage Summary (Groups G-I)</t>
  </si>
  <si>
    <t>Total Attempts</t>
  </si>
  <si>
    <t>Total xG</t>
  </si>
  <si>
    <t>Column1</t>
  </si>
  <si>
    <t>Groups G-I preliminary comparison</t>
  </si>
  <si>
    <t>Value</t>
  </si>
  <si>
    <t>Advanced teams</t>
  </si>
  <si>
    <t>Eliminated teams</t>
  </si>
  <si>
    <t>Mean xG/shot — Advanced</t>
  </si>
  <si>
    <t>Mean xG/shot — Eliminated</t>
  </si>
  <si>
    <t>Difference (Advanced - Eliminated)</t>
  </si>
  <si>
    <t>Formula :  xG per shot = xG ÷ Attempts at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</si>
</sst>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0.000"/>
  </numFmts>
  <fonts count="6">
    <font>
      <sz val="11"/>
      <name val="Carlito"/>
    </font>
    <font>
      <b/>
      <sz val="15"/>
      <color rgb="FFFFFFFF"/>
      <name val="Carlito"/>
    </font>
    <font>
      <b/>
      <sz val="11"/>
      <color rgb="FF0B3D91"/>
      <name val="Carlito"/>
    </font>
    <font>
      <sz val="11"/>
      <color rgb="FF5B4500"/>
      <name val="Carlito"/>
    </font>
    <font>
      <b/>
      <sz val="11"/>
      <color rgb="FF1F2937"/>
      <name val="Carlito"/>
    </font>
    <font>
      <b/>
      <sz val="15"/>
      <color theme="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FFF4CC"/>
      </patternFill>
    </fill>
    <fill>
      <patternFill patternType="solid">
        <fgColor rgb="FFDCE6F1"/>
      </patternFill>
    </fill>
    <fill>
      <patternFill patternType="solid">
        <f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0" fillId="5" borderId="0" xfId="0" applyFill="1"/>
    <xf numFmtId="166" fontId="0" fillId="0" borderId="0" xfId="0" applyNumberFormat="1" applyAlignment="1">
      <alignment wrapText="1"/>
    </xf>
    <xf numFmtId="0" fontId="5" fillId="2" borderId="0" xfId="0" applyFont="1" applyFill="1" applyAlignment="1">
      <alignment vertical="center"/>
    </xf>
    <xf numFmtId="0" fontId="0" fillId="6" borderId="0" xfId="0" applyFill="1" applyAlignment="1">
      <alignment wrapText="1"/>
    </xf>
    <xf numFmtId="164" fontId="0" fillId="6" borderId="0" xfId="0" applyNumberFormat="1" applyFill="1" applyAlignment="1">
      <alignment wrapText="1"/>
    </xf>
    <xf numFmtId="1" fontId="0" fillId="6" borderId="0" xfId="0" applyNumberFormat="1" applyFill="1" applyAlignment="1">
      <alignment wrapText="1"/>
    </xf>
    <xf numFmtId="2" fontId="0" fillId="6" borderId="0" xfId="0" applyNumberFormat="1" applyFill="1" applyAlignment="1">
      <alignment wrapText="1"/>
    </xf>
    <xf numFmtId="166" fontId="0" fillId="6" borderId="0" xfId="0" applyNumberFormat="1" applyFill="1" applyAlignment="1">
      <alignment wrapText="1"/>
    </xf>
    <xf numFmtId="0" fontId="4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0" fillId="8" borderId="0" xfId="0" applyFill="1"/>
    <xf numFmtId="0" fontId="2" fillId="8" borderId="0" xfId="0" applyFont="1" applyFill="1"/>
    <xf numFmtId="0" fontId="0" fillId="8" borderId="0" xfId="0" applyFill="1" applyAlignment="1">
      <alignment wrapText="1"/>
    </xf>
    <xf numFmtId="0" fontId="4" fillId="8" borderId="0" xfId="0" applyFont="1" applyFill="1" applyAlignment="1">
      <alignment horizontal="center" vertical="center" wrapText="1"/>
    </xf>
    <xf numFmtId="1" fontId="0" fillId="8" borderId="0" xfId="0" applyNumberFormat="1" applyFill="1" applyAlignment="1">
      <alignment wrapText="1"/>
    </xf>
    <xf numFmtId="2" fontId="0" fillId="8" borderId="0" xfId="0" applyNumberFormat="1" applyFill="1" applyAlignment="1">
      <alignment wrapText="1"/>
    </xf>
    <xf numFmtId="166" fontId="0" fillId="8" borderId="0" xfId="0" applyNumberFormat="1" applyFill="1" applyAlignment="1">
      <alignment wrapText="1"/>
    </xf>
    <xf numFmtId="165" fontId="0" fillId="8" borderId="0" xfId="0" applyNumberFormat="1" applyFill="1" applyAlignment="1">
      <alignment wrapText="1"/>
    </xf>
    <xf numFmtId="0" fontId="1" fillId="7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22"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MatchTable" displayName="TeamMatchTable" ref="A1:I37" totalsRowShown="0" headerRowDxfId="19" dataDxfId="18">
  <tableColumns count="9">
    <tableColumn id="1" xr3:uid="{00000000-0010-0000-0000-000001000000}" name="Group" dataDxfId="17"/>
    <tableColumn id="2" xr3:uid="{00000000-0010-0000-0000-000002000000}" name="Match" dataDxfId="16"/>
    <tableColumn id="3" xr3:uid="{00000000-0010-0000-0000-000003000000}" name="Date" dataDxfId="15"/>
    <tableColumn id="4" xr3:uid="{00000000-0010-0000-0000-000004000000}" name="Team" dataDxfId="14"/>
    <tableColumn id="5" xr3:uid="{00000000-0010-0000-0000-000005000000}" name="Opponent" dataDxfId="13"/>
    <tableColumn id="6" xr3:uid="{00000000-0010-0000-0000-000006000000}" name="Attempts at Goal" dataDxfId="12"/>
    <tableColumn id="7" xr3:uid="{00000000-0010-0000-0000-000007000000}" name="xG" dataDxfId="11"/>
    <tableColumn id="8" xr3:uid="{00000000-0010-0000-0000-000008000000}" name="xG per Shot" dataDxfId="10"/>
    <tableColumn id="9" xr3:uid="{00000000-0010-0000-0000-000009000000}" name="Outcom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SummaryTable" displayName="TeamSummaryTable" ref="A3:G15" totalsRowShown="0" headerRowDxfId="8" dataDxfId="7">
  <tableColumns count="7">
    <tableColumn id="1" xr3:uid="{00000000-0010-0000-0100-000001000000}" name="Group" dataDxfId="6"/>
    <tableColumn id="2" xr3:uid="{00000000-0010-0000-0100-000002000000}" name="Team" dataDxfId="5"/>
    <tableColumn id="3" xr3:uid="{00000000-0010-0000-0100-000003000000}" name="Outcome" dataDxfId="4"/>
    <tableColumn id="4" xr3:uid="{00000000-0010-0000-0100-000004000000}" name="Total Attempts" dataDxfId="3"/>
    <tableColumn id="5" xr3:uid="{00000000-0010-0000-0100-000005000000}" name="Total xG" dataDxfId="2"/>
    <tableColumn id="6" xr3:uid="{00000000-0010-0000-0100-000006000000}" name="xG per Shot" dataDxfId="1"/>
    <tableColumn id="7" xr3:uid="{00000000-0010-0000-0100-000007000000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A15" sqref="A15"/>
    </sheetView>
  </sheetViews>
  <sheetFormatPr defaultRowHeight="13.9"/>
  <cols>
    <col min="1" max="1" width="22" customWidth="1"/>
    <col min="2" max="2" width="71.75" customWidth="1"/>
    <col min="3" max="8" width="8.75" hidden="1" customWidth="1"/>
  </cols>
  <sheetData>
    <row r="1" spans="1:8" ht="19.149999999999999">
      <c r="A1" s="12" t="s">
        <v>0</v>
      </c>
      <c r="B1" s="12"/>
      <c r="C1" s="5"/>
      <c r="D1" s="5"/>
      <c r="E1" s="5"/>
      <c r="F1" s="5"/>
      <c r="G1" s="5"/>
      <c r="H1" s="5"/>
    </row>
    <row r="2" spans="1:8">
      <c r="A2" s="13"/>
      <c r="B2" s="13"/>
    </row>
    <row r="3" spans="1:8" ht="27.6">
      <c r="A3" s="14" t="s">
        <v>1</v>
      </c>
      <c r="B3" s="15" t="s">
        <v>2</v>
      </c>
    </row>
    <row r="4" spans="1:8">
      <c r="A4" s="14" t="s">
        <v>3</v>
      </c>
      <c r="B4" s="15" t="s">
        <v>4</v>
      </c>
    </row>
    <row r="5" spans="1:8" ht="27.6">
      <c r="A5" s="14" t="s">
        <v>5</v>
      </c>
      <c r="B5" s="15" t="s">
        <v>6</v>
      </c>
    </row>
    <row r="6" spans="1:8">
      <c r="A6" s="14" t="s">
        <v>7</v>
      </c>
      <c r="B6" s="15" t="s">
        <v>8</v>
      </c>
    </row>
    <row r="7" spans="1:8">
      <c r="A7" s="14" t="s">
        <v>9</v>
      </c>
      <c r="B7" s="15" t="s">
        <v>10</v>
      </c>
    </row>
    <row r="8" spans="1:8">
      <c r="A8" s="14" t="s">
        <v>11</v>
      </c>
      <c r="B8" s="15" t="s">
        <v>12</v>
      </c>
    </row>
    <row r="9" spans="1:8">
      <c r="A9" s="14" t="s">
        <v>13</v>
      </c>
      <c r="B9" s="15" t="s">
        <v>14</v>
      </c>
    </row>
    <row r="10" spans="1:8">
      <c r="A10" s="13"/>
      <c r="B10" s="13"/>
    </row>
    <row r="11" spans="1:8">
      <c r="A11" s="13"/>
      <c r="B11" s="13"/>
    </row>
    <row r="12" spans="1:8">
      <c r="A12" s="13"/>
      <c r="B12" s="13"/>
    </row>
    <row r="13" spans="1:8">
      <c r="A13" s="13"/>
      <c r="B13" s="13"/>
    </row>
    <row r="14" spans="1:8">
      <c r="A14" s="13"/>
      <c r="B14" s="13"/>
    </row>
    <row r="15" spans="1:8" ht="41.45">
      <c r="A15" s="13"/>
      <c r="B15" s="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zoomScale="67" workbookViewId="0">
      <selection activeCell="K5" sqref="K5"/>
    </sheetView>
  </sheetViews>
  <sheetFormatPr defaultRowHeight="13.9"/>
  <cols>
    <col min="1" max="1" width="8" customWidth="1"/>
    <col min="2" max="2" width="9" customWidth="1"/>
    <col min="3" max="3" width="13" customWidth="1"/>
    <col min="4" max="5" width="24" customWidth="1"/>
    <col min="6" max="6" width="16" customWidth="1"/>
    <col min="7" max="7" width="10" customWidth="1"/>
    <col min="8" max="8" width="14" customWidth="1"/>
    <col min="9" max="9" width="13" customWidth="1"/>
  </cols>
  <sheetData>
    <row r="1" spans="1:14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</row>
    <row r="2" spans="1:14">
      <c r="A2" s="6" t="s">
        <v>25</v>
      </c>
      <c r="B2" s="6" t="s">
        <v>26</v>
      </c>
      <c r="C2" s="7" t="s">
        <v>27</v>
      </c>
      <c r="D2" s="6" t="s">
        <v>28</v>
      </c>
      <c r="E2" s="6" t="s">
        <v>29</v>
      </c>
      <c r="F2" s="8">
        <v>15</v>
      </c>
      <c r="G2" s="9">
        <v>1.35</v>
      </c>
      <c r="H2" s="10">
        <f t="shared" ref="H2:H37" si="0">IFERROR(G2/F2,"")</f>
        <v>9.0000000000000011E-2</v>
      </c>
      <c r="I2" s="6" t="s">
        <v>30</v>
      </c>
    </row>
    <row r="3" spans="1:14">
      <c r="A3" s="6" t="s">
        <v>25</v>
      </c>
      <c r="B3" s="6" t="s">
        <v>26</v>
      </c>
      <c r="C3" s="7" t="s">
        <v>27</v>
      </c>
      <c r="D3" s="6" t="s">
        <v>29</v>
      </c>
      <c r="E3" s="6" t="s">
        <v>28</v>
      </c>
      <c r="F3" s="8">
        <v>14</v>
      </c>
      <c r="G3" s="9">
        <v>1.08</v>
      </c>
      <c r="H3" s="10">
        <f t="shared" si="0"/>
        <v>7.7142857142857152E-2</v>
      </c>
      <c r="I3" s="6" t="s">
        <v>30</v>
      </c>
    </row>
    <row r="4" spans="1:14">
      <c r="A4" s="6" t="s">
        <v>25</v>
      </c>
      <c r="B4" s="6" t="s">
        <v>31</v>
      </c>
      <c r="C4" s="7" t="s">
        <v>27</v>
      </c>
      <c r="D4" s="6" t="s">
        <v>32</v>
      </c>
      <c r="E4" s="6" t="s">
        <v>33</v>
      </c>
      <c r="F4" s="8">
        <v>17</v>
      </c>
      <c r="G4" s="9">
        <v>1.5</v>
      </c>
      <c r="H4" s="10">
        <f t="shared" si="0"/>
        <v>8.8235294117647065E-2</v>
      </c>
      <c r="I4" s="6" t="s">
        <v>34</v>
      </c>
    </row>
    <row r="5" spans="1:14">
      <c r="A5" s="6" t="s">
        <v>25</v>
      </c>
      <c r="B5" s="6" t="s">
        <v>31</v>
      </c>
      <c r="C5" s="7" t="s">
        <v>27</v>
      </c>
      <c r="D5" s="6" t="s">
        <v>33</v>
      </c>
      <c r="E5" s="6" t="s">
        <v>32</v>
      </c>
      <c r="F5" s="8">
        <v>14</v>
      </c>
      <c r="G5" s="9">
        <v>1.24</v>
      </c>
      <c r="H5" s="10">
        <f t="shared" si="0"/>
        <v>8.8571428571428565E-2</v>
      </c>
      <c r="I5" s="6" t="s">
        <v>34</v>
      </c>
    </row>
    <row r="6" spans="1:14">
      <c r="A6" s="6" t="s">
        <v>25</v>
      </c>
      <c r="B6" s="6" t="s">
        <v>35</v>
      </c>
      <c r="C6" s="7" t="s">
        <v>36</v>
      </c>
      <c r="D6" s="6" t="s">
        <v>28</v>
      </c>
      <c r="E6" s="6" t="s">
        <v>32</v>
      </c>
      <c r="F6" s="8">
        <v>23</v>
      </c>
      <c r="G6" s="9">
        <v>1.79</v>
      </c>
      <c r="H6" s="10">
        <f t="shared" si="0"/>
        <v>7.7826086956521739E-2</v>
      </c>
      <c r="I6" s="6" t="s">
        <v>30</v>
      </c>
    </row>
    <row r="7" spans="1:14">
      <c r="A7" s="6" t="s">
        <v>25</v>
      </c>
      <c r="B7" s="6" t="s">
        <v>35</v>
      </c>
      <c r="C7" s="7" t="s">
        <v>36</v>
      </c>
      <c r="D7" s="6" t="s">
        <v>32</v>
      </c>
      <c r="E7" s="6" t="s">
        <v>28</v>
      </c>
      <c r="F7" s="8">
        <v>7</v>
      </c>
      <c r="G7" s="9">
        <v>0.62</v>
      </c>
      <c r="H7" s="10">
        <f t="shared" si="0"/>
        <v>8.8571428571428565E-2</v>
      </c>
      <c r="I7" s="6" t="s">
        <v>34</v>
      </c>
      <c r="L7" s="3" t="s">
        <v>37</v>
      </c>
      <c r="M7" s="3"/>
      <c r="N7" s="3"/>
    </row>
    <row r="8" spans="1:14">
      <c r="A8" s="6" t="s">
        <v>25</v>
      </c>
      <c r="B8" s="6" t="s">
        <v>38</v>
      </c>
      <c r="C8" s="7" t="s">
        <v>36</v>
      </c>
      <c r="D8" s="6" t="s">
        <v>33</v>
      </c>
      <c r="E8" s="6" t="s">
        <v>29</v>
      </c>
      <c r="F8" s="8">
        <v>11</v>
      </c>
      <c r="G8" s="9">
        <v>1.24</v>
      </c>
      <c r="H8" s="10">
        <f t="shared" si="0"/>
        <v>0.11272727272727273</v>
      </c>
      <c r="I8" s="6" t="s">
        <v>34</v>
      </c>
    </row>
    <row r="9" spans="1:14">
      <c r="A9" s="6" t="s">
        <v>25</v>
      </c>
      <c r="B9" s="6" t="s">
        <v>38</v>
      </c>
      <c r="C9" s="7" t="s">
        <v>36</v>
      </c>
      <c r="D9" s="6" t="s">
        <v>29</v>
      </c>
      <c r="E9" s="6" t="s">
        <v>33</v>
      </c>
      <c r="F9" s="8">
        <v>19</v>
      </c>
      <c r="G9" s="9">
        <v>1.87</v>
      </c>
      <c r="H9" s="10">
        <f t="shared" si="0"/>
        <v>9.8421052631578951E-2</v>
      </c>
      <c r="I9" s="6" t="s">
        <v>30</v>
      </c>
    </row>
    <row r="10" spans="1:14">
      <c r="A10" s="6" t="s">
        <v>25</v>
      </c>
      <c r="B10" s="6" t="s">
        <v>39</v>
      </c>
      <c r="C10" s="7" t="s">
        <v>40</v>
      </c>
      <c r="D10" s="6" t="s">
        <v>29</v>
      </c>
      <c r="E10" s="6" t="s">
        <v>32</v>
      </c>
      <c r="F10" s="8">
        <v>15</v>
      </c>
      <c r="G10" s="9">
        <v>0.84</v>
      </c>
      <c r="H10" s="10">
        <f t="shared" si="0"/>
        <v>5.6000000000000001E-2</v>
      </c>
      <c r="I10" s="6" t="s">
        <v>30</v>
      </c>
    </row>
    <row r="11" spans="1:14">
      <c r="A11" s="6" t="s">
        <v>25</v>
      </c>
      <c r="B11" s="6" t="s">
        <v>39</v>
      </c>
      <c r="C11" s="7" t="s">
        <v>40</v>
      </c>
      <c r="D11" s="6" t="s">
        <v>32</v>
      </c>
      <c r="E11" s="6" t="s">
        <v>29</v>
      </c>
      <c r="F11" s="8">
        <v>13</v>
      </c>
      <c r="G11" s="9">
        <v>1.97</v>
      </c>
      <c r="H11" s="10">
        <f t="shared" si="0"/>
        <v>0.15153846153846154</v>
      </c>
      <c r="I11" s="6" t="s">
        <v>34</v>
      </c>
    </row>
    <row r="12" spans="1:14">
      <c r="A12" s="6" t="s">
        <v>25</v>
      </c>
      <c r="B12" s="6" t="s">
        <v>41</v>
      </c>
      <c r="C12" s="7" t="s">
        <v>40</v>
      </c>
      <c r="D12" s="6" t="s">
        <v>33</v>
      </c>
      <c r="E12" s="6" t="s">
        <v>28</v>
      </c>
      <c r="F12" s="8">
        <v>6</v>
      </c>
      <c r="G12" s="9">
        <v>0.34</v>
      </c>
      <c r="H12" s="10">
        <f t="shared" si="0"/>
        <v>5.6666666666666671E-2</v>
      </c>
      <c r="I12" s="6" t="s">
        <v>34</v>
      </c>
    </row>
    <row r="13" spans="1:14">
      <c r="A13" s="6" t="s">
        <v>25</v>
      </c>
      <c r="B13" s="6" t="s">
        <v>41</v>
      </c>
      <c r="C13" s="7" t="s">
        <v>40</v>
      </c>
      <c r="D13" s="6" t="s">
        <v>28</v>
      </c>
      <c r="E13" s="6" t="s">
        <v>33</v>
      </c>
      <c r="F13" s="8">
        <v>35</v>
      </c>
      <c r="G13" s="9">
        <v>3.65</v>
      </c>
      <c r="H13" s="10">
        <f t="shared" si="0"/>
        <v>0.10428571428571429</v>
      </c>
      <c r="I13" s="6" t="s">
        <v>30</v>
      </c>
    </row>
    <row r="14" spans="1:14">
      <c r="A14" s="6" t="s">
        <v>42</v>
      </c>
      <c r="B14" s="6" t="s">
        <v>43</v>
      </c>
      <c r="C14" s="7" t="s">
        <v>27</v>
      </c>
      <c r="D14" s="6" t="s">
        <v>44</v>
      </c>
      <c r="E14" s="6" t="s">
        <v>45</v>
      </c>
      <c r="F14" s="8">
        <v>27</v>
      </c>
      <c r="G14" s="9">
        <v>2.1</v>
      </c>
      <c r="H14" s="10">
        <f t="shared" si="0"/>
        <v>7.7777777777777779E-2</v>
      </c>
      <c r="I14" s="6" t="s">
        <v>30</v>
      </c>
    </row>
    <row r="15" spans="1:14">
      <c r="A15" s="6" t="s">
        <v>42</v>
      </c>
      <c r="B15" s="6" t="s">
        <v>43</v>
      </c>
      <c r="C15" s="7" t="s">
        <v>27</v>
      </c>
      <c r="D15" s="6" t="s">
        <v>45</v>
      </c>
      <c r="E15" s="6" t="s">
        <v>44</v>
      </c>
      <c r="F15" s="8">
        <v>6</v>
      </c>
      <c r="G15" s="9">
        <v>0.2</v>
      </c>
      <c r="H15" s="10">
        <f t="shared" si="0"/>
        <v>3.3333333333333333E-2</v>
      </c>
      <c r="I15" s="6" t="s">
        <v>30</v>
      </c>
    </row>
    <row r="16" spans="1:14">
      <c r="A16" s="6" t="s">
        <v>42</v>
      </c>
      <c r="B16" s="6" t="s">
        <v>46</v>
      </c>
      <c r="C16" s="7" t="s">
        <v>27</v>
      </c>
      <c r="D16" s="6" t="s">
        <v>47</v>
      </c>
      <c r="E16" s="6" t="s">
        <v>48</v>
      </c>
      <c r="F16" s="8">
        <v>7</v>
      </c>
      <c r="G16" s="9">
        <v>0.66</v>
      </c>
      <c r="H16" s="10">
        <f t="shared" si="0"/>
        <v>9.4285714285714292E-2</v>
      </c>
      <c r="I16" s="6" t="s">
        <v>34</v>
      </c>
    </row>
    <row r="17" spans="1:9">
      <c r="A17" s="6" t="s">
        <v>42</v>
      </c>
      <c r="B17" s="6" t="s">
        <v>46</v>
      </c>
      <c r="C17" s="7" t="s">
        <v>27</v>
      </c>
      <c r="D17" s="6" t="s">
        <v>48</v>
      </c>
      <c r="E17" s="6" t="s">
        <v>47</v>
      </c>
      <c r="F17" s="8">
        <v>27</v>
      </c>
      <c r="G17" s="9">
        <v>1.72</v>
      </c>
      <c r="H17" s="10">
        <f t="shared" si="0"/>
        <v>6.3703703703703707E-2</v>
      </c>
      <c r="I17" s="6" t="s">
        <v>34</v>
      </c>
    </row>
    <row r="18" spans="1:9">
      <c r="A18" s="6" t="s">
        <v>42</v>
      </c>
      <c r="B18" s="6" t="s">
        <v>49</v>
      </c>
      <c r="C18" s="7" t="s">
        <v>36</v>
      </c>
      <c r="D18" s="6" t="s">
        <v>44</v>
      </c>
      <c r="E18" s="6" t="s">
        <v>47</v>
      </c>
      <c r="F18" s="8">
        <v>22</v>
      </c>
      <c r="G18" s="9">
        <v>2.85</v>
      </c>
      <c r="H18" s="10">
        <f t="shared" si="0"/>
        <v>0.12954545454545455</v>
      </c>
      <c r="I18" s="6" t="s">
        <v>30</v>
      </c>
    </row>
    <row r="19" spans="1:9">
      <c r="A19" s="6" t="s">
        <v>42</v>
      </c>
      <c r="B19" s="6" t="s">
        <v>49</v>
      </c>
      <c r="C19" s="7" t="s">
        <v>36</v>
      </c>
      <c r="D19" s="6" t="s">
        <v>47</v>
      </c>
      <c r="E19" s="6" t="s">
        <v>44</v>
      </c>
      <c r="F19" s="8">
        <v>3</v>
      </c>
      <c r="G19" s="9">
        <v>0.14000000000000001</v>
      </c>
      <c r="H19" s="10">
        <f t="shared" si="0"/>
        <v>4.6666666666666669E-2</v>
      </c>
      <c r="I19" s="6" t="s">
        <v>34</v>
      </c>
    </row>
    <row r="20" spans="1:9">
      <c r="A20" s="6" t="s">
        <v>42</v>
      </c>
      <c r="B20" s="6" t="s">
        <v>50</v>
      </c>
      <c r="C20" s="7" t="s">
        <v>36</v>
      </c>
      <c r="D20" s="6" t="s">
        <v>48</v>
      </c>
      <c r="E20" s="6" t="s">
        <v>45</v>
      </c>
      <c r="F20" s="8">
        <v>17</v>
      </c>
      <c r="G20" s="9">
        <v>2.3199999999999998</v>
      </c>
      <c r="H20" s="10">
        <f t="shared" si="0"/>
        <v>0.13647058823529412</v>
      </c>
      <c r="I20" s="6" t="s">
        <v>34</v>
      </c>
    </row>
    <row r="21" spans="1:9">
      <c r="A21" s="6" t="s">
        <v>42</v>
      </c>
      <c r="B21" s="6" t="s">
        <v>50</v>
      </c>
      <c r="C21" s="7" t="s">
        <v>36</v>
      </c>
      <c r="D21" s="6" t="s">
        <v>45</v>
      </c>
      <c r="E21" s="6" t="s">
        <v>48</v>
      </c>
      <c r="F21" s="8">
        <v>12</v>
      </c>
      <c r="G21" s="9">
        <v>0.88</v>
      </c>
      <c r="H21" s="10">
        <f t="shared" si="0"/>
        <v>7.3333333333333334E-2</v>
      </c>
      <c r="I21" s="6" t="s">
        <v>30</v>
      </c>
    </row>
    <row r="22" spans="1:9">
      <c r="A22" s="6" t="s">
        <v>42</v>
      </c>
      <c r="B22" s="6" t="s">
        <v>51</v>
      </c>
      <c r="C22" s="7" t="s">
        <v>40</v>
      </c>
      <c r="D22" s="6" t="s">
        <v>45</v>
      </c>
      <c r="E22" s="6" t="s">
        <v>47</v>
      </c>
      <c r="F22" s="8">
        <v>15</v>
      </c>
      <c r="G22" s="9">
        <v>1.39</v>
      </c>
      <c r="H22" s="10">
        <f t="shared" si="0"/>
        <v>9.2666666666666661E-2</v>
      </c>
      <c r="I22" s="6" t="s">
        <v>30</v>
      </c>
    </row>
    <row r="23" spans="1:9">
      <c r="A23" s="6" t="s">
        <v>42</v>
      </c>
      <c r="B23" s="6" t="s">
        <v>51</v>
      </c>
      <c r="C23" s="7" t="s">
        <v>40</v>
      </c>
      <c r="D23" s="6" t="s">
        <v>47</v>
      </c>
      <c r="E23" s="6" t="s">
        <v>45</v>
      </c>
      <c r="F23" s="8">
        <v>7</v>
      </c>
      <c r="G23" s="9">
        <v>0.39</v>
      </c>
      <c r="H23" s="10">
        <f t="shared" si="0"/>
        <v>5.5714285714285716E-2</v>
      </c>
      <c r="I23" s="6" t="s">
        <v>34</v>
      </c>
    </row>
    <row r="24" spans="1:9">
      <c r="A24" s="6" t="s">
        <v>42</v>
      </c>
      <c r="B24" s="6" t="s">
        <v>52</v>
      </c>
      <c r="C24" s="7" t="s">
        <v>40</v>
      </c>
      <c r="D24" s="6" t="s">
        <v>48</v>
      </c>
      <c r="E24" s="6" t="s">
        <v>44</v>
      </c>
      <c r="F24" s="8">
        <v>5</v>
      </c>
      <c r="G24" s="9">
        <v>0.2</v>
      </c>
      <c r="H24" s="10">
        <f t="shared" si="0"/>
        <v>0.04</v>
      </c>
      <c r="I24" s="6" t="s">
        <v>34</v>
      </c>
    </row>
    <row r="25" spans="1:9">
      <c r="A25" s="6" t="s">
        <v>42</v>
      </c>
      <c r="B25" s="6" t="s">
        <v>52</v>
      </c>
      <c r="C25" s="7" t="s">
        <v>40</v>
      </c>
      <c r="D25" s="6" t="s">
        <v>44</v>
      </c>
      <c r="E25" s="6" t="s">
        <v>48</v>
      </c>
      <c r="F25" s="8">
        <v>6</v>
      </c>
      <c r="G25" s="9">
        <v>0.86</v>
      </c>
      <c r="H25" s="10">
        <f t="shared" si="0"/>
        <v>0.14333333333333334</v>
      </c>
      <c r="I25" s="6" t="s">
        <v>30</v>
      </c>
    </row>
    <row r="26" spans="1:9">
      <c r="A26" s="6" t="s">
        <v>53</v>
      </c>
      <c r="B26" s="6" t="s">
        <v>54</v>
      </c>
      <c r="C26" s="7" t="s">
        <v>55</v>
      </c>
      <c r="D26" s="6" t="s">
        <v>56</v>
      </c>
      <c r="E26" s="6" t="s">
        <v>57</v>
      </c>
      <c r="F26" s="8">
        <v>11</v>
      </c>
      <c r="G26" s="9">
        <v>1.79</v>
      </c>
      <c r="H26" s="10">
        <f t="shared" si="0"/>
        <v>0.16272727272727272</v>
      </c>
      <c r="I26" s="6" t="s">
        <v>30</v>
      </c>
    </row>
    <row r="27" spans="1:9">
      <c r="A27" s="6" t="s">
        <v>53</v>
      </c>
      <c r="B27" s="6" t="s">
        <v>54</v>
      </c>
      <c r="C27" s="7" t="s">
        <v>55</v>
      </c>
      <c r="D27" s="6" t="s">
        <v>57</v>
      </c>
      <c r="E27" s="6" t="s">
        <v>56</v>
      </c>
      <c r="F27" s="8">
        <v>6</v>
      </c>
      <c r="G27" s="9">
        <v>0.53</v>
      </c>
      <c r="H27" s="10">
        <f t="shared" si="0"/>
        <v>8.8333333333333333E-2</v>
      </c>
      <c r="I27" s="6" t="s">
        <v>30</v>
      </c>
    </row>
    <row r="28" spans="1:9">
      <c r="A28" s="6" t="s">
        <v>53</v>
      </c>
      <c r="B28" s="6" t="s">
        <v>58</v>
      </c>
      <c r="C28" s="7" t="s">
        <v>55</v>
      </c>
      <c r="D28" s="6" t="s">
        <v>59</v>
      </c>
      <c r="E28" s="6" t="s">
        <v>60</v>
      </c>
      <c r="F28" s="8">
        <v>11</v>
      </c>
      <c r="G28" s="9">
        <v>0.8</v>
      </c>
      <c r="H28" s="10">
        <f t="shared" si="0"/>
        <v>7.2727272727272738E-2</v>
      </c>
      <c r="I28" s="6" t="s">
        <v>34</v>
      </c>
    </row>
    <row r="29" spans="1:9">
      <c r="A29" s="6" t="s">
        <v>53</v>
      </c>
      <c r="B29" s="6" t="s">
        <v>58</v>
      </c>
      <c r="C29" s="7" t="s">
        <v>55</v>
      </c>
      <c r="D29" s="6" t="s">
        <v>60</v>
      </c>
      <c r="E29" s="6" t="s">
        <v>59</v>
      </c>
      <c r="F29" s="8">
        <v>12</v>
      </c>
      <c r="G29" s="9">
        <v>2.52</v>
      </c>
      <c r="H29" s="10">
        <f t="shared" si="0"/>
        <v>0.21</v>
      </c>
      <c r="I29" s="6" t="s">
        <v>30</v>
      </c>
    </row>
    <row r="30" spans="1:9">
      <c r="A30" s="6" t="s">
        <v>53</v>
      </c>
      <c r="B30" s="6" t="s">
        <v>61</v>
      </c>
      <c r="C30" s="7" t="s">
        <v>62</v>
      </c>
      <c r="D30" s="6" t="s">
        <v>60</v>
      </c>
      <c r="E30" s="6" t="s">
        <v>57</v>
      </c>
      <c r="F30" s="8">
        <v>13</v>
      </c>
      <c r="G30" s="9">
        <v>2.2000000000000002</v>
      </c>
      <c r="H30" s="10">
        <f t="shared" si="0"/>
        <v>0.16923076923076924</v>
      </c>
      <c r="I30" s="6" t="s">
        <v>30</v>
      </c>
    </row>
    <row r="31" spans="1:9">
      <c r="A31" s="6" t="s">
        <v>53</v>
      </c>
      <c r="B31" s="6" t="s">
        <v>61</v>
      </c>
      <c r="C31" s="7" t="s">
        <v>62</v>
      </c>
      <c r="D31" s="6" t="s">
        <v>57</v>
      </c>
      <c r="E31" s="6" t="s">
        <v>60</v>
      </c>
      <c r="F31" s="8">
        <v>16</v>
      </c>
      <c r="G31" s="9">
        <v>1.72</v>
      </c>
      <c r="H31" s="10">
        <f t="shared" si="0"/>
        <v>0.1075</v>
      </c>
      <c r="I31" s="6" t="s">
        <v>30</v>
      </c>
    </row>
    <row r="32" spans="1:9">
      <c r="A32" s="6" t="s">
        <v>53</v>
      </c>
      <c r="B32" s="6" t="s">
        <v>63</v>
      </c>
      <c r="C32" s="7" t="s">
        <v>62</v>
      </c>
      <c r="D32" s="6" t="s">
        <v>56</v>
      </c>
      <c r="E32" s="6" t="s">
        <v>59</v>
      </c>
      <c r="F32" s="8">
        <v>19</v>
      </c>
      <c r="G32" s="9">
        <v>2.67</v>
      </c>
      <c r="H32" s="10">
        <f t="shared" si="0"/>
        <v>0.14052631578947369</v>
      </c>
      <c r="I32" s="6" t="s">
        <v>30</v>
      </c>
    </row>
    <row r="33" spans="1:9">
      <c r="A33" s="6" t="s">
        <v>53</v>
      </c>
      <c r="B33" s="6" t="s">
        <v>63</v>
      </c>
      <c r="C33" s="7" t="s">
        <v>62</v>
      </c>
      <c r="D33" s="6" t="s">
        <v>59</v>
      </c>
      <c r="E33" s="6" t="s">
        <v>56</v>
      </c>
      <c r="F33" s="8">
        <v>4</v>
      </c>
      <c r="G33" s="9">
        <v>0.63</v>
      </c>
      <c r="H33" s="10">
        <f t="shared" si="0"/>
        <v>0.1575</v>
      </c>
      <c r="I33" s="6" t="s">
        <v>34</v>
      </c>
    </row>
    <row r="34" spans="1:9">
      <c r="A34" s="6" t="s">
        <v>53</v>
      </c>
      <c r="B34" s="6" t="s">
        <v>64</v>
      </c>
      <c r="C34" s="7" t="s">
        <v>40</v>
      </c>
      <c r="D34" s="6" t="s">
        <v>60</v>
      </c>
      <c r="E34" s="6" t="s">
        <v>56</v>
      </c>
      <c r="F34" s="8">
        <v>10</v>
      </c>
      <c r="G34" s="9">
        <v>1.7</v>
      </c>
      <c r="H34" s="10">
        <f t="shared" si="0"/>
        <v>0.16999999999999998</v>
      </c>
      <c r="I34" s="6" t="s">
        <v>30</v>
      </c>
    </row>
    <row r="35" spans="1:9">
      <c r="A35" s="6" t="s">
        <v>53</v>
      </c>
      <c r="B35" s="6" t="s">
        <v>64</v>
      </c>
      <c r="C35" s="7" t="s">
        <v>40</v>
      </c>
      <c r="D35" s="6" t="s">
        <v>56</v>
      </c>
      <c r="E35" s="6" t="s">
        <v>60</v>
      </c>
      <c r="F35" s="8">
        <v>18</v>
      </c>
      <c r="G35" s="9">
        <v>1.5</v>
      </c>
      <c r="H35" s="10">
        <f t="shared" si="0"/>
        <v>8.3333333333333329E-2</v>
      </c>
      <c r="I35" s="6" t="s">
        <v>30</v>
      </c>
    </row>
    <row r="36" spans="1:9">
      <c r="A36" s="6" t="s">
        <v>53</v>
      </c>
      <c r="B36" s="6" t="s">
        <v>65</v>
      </c>
      <c r="C36" s="7" t="s">
        <v>40</v>
      </c>
      <c r="D36" s="6" t="s">
        <v>57</v>
      </c>
      <c r="E36" s="6" t="s">
        <v>59</v>
      </c>
      <c r="F36" s="8">
        <v>28</v>
      </c>
      <c r="G36" s="9">
        <v>3.01</v>
      </c>
      <c r="H36" s="10">
        <f t="shared" si="0"/>
        <v>0.1075</v>
      </c>
      <c r="I36" s="6" t="s">
        <v>30</v>
      </c>
    </row>
    <row r="37" spans="1:9">
      <c r="A37" s="6" t="s">
        <v>53</v>
      </c>
      <c r="B37" s="6" t="s">
        <v>65</v>
      </c>
      <c r="C37" s="7" t="s">
        <v>40</v>
      </c>
      <c r="D37" s="6" t="s">
        <v>59</v>
      </c>
      <c r="E37" s="6" t="s">
        <v>57</v>
      </c>
      <c r="F37" s="8">
        <v>6</v>
      </c>
      <c r="G37" s="9">
        <v>0.14000000000000001</v>
      </c>
      <c r="H37" s="10">
        <f t="shared" si="0"/>
        <v>2.3333333333333334E-2</v>
      </c>
      <c r="I37" s="6" t="s">
        <v>34</v>
      </c>
    </row>
  </sheetData>
  <conditionalFormatting sqref="I2:I37">
    <cfRule type="expression" dxfId="21" priority="1">
      <formula>I2="Advanced"</formula>
    </cfRule>
    <cfRule type="expression" dxfId="20" priority="2">
      <formula>I2="Eliminated"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abSelected="1" workbookViewId="0">
      <selection activeCell="E22" sqref="E22"/>
    </sheetView>
  </sheetViews>
  <sheetFormatPr defaultRowHeight="13.9"/>
  <cols>
    <col min="1" max="1" width="8" customWidth="1"/>
    <col min="2" max="2" width="26" customWidth="1"/>
    <col min="3" max="3" width="14" customWidth="1"/>
    <col min="4" max="4" width="11" customWidth="1"/>
    <col min="5" max="5" width="16" customWidth="1"/>
    <col min="6" max="6" width="12" customWidth="1"/>
    <col min="7" max="7" width="14" customWidth="1"/>
    <col min="9" max="9" width="34" customWidth="1"/>
    <col min="10" max="10" width="22.25" customWidth="1"/>
  </cols>
  <sheetData>
    <row r="1" spans="1:10" ht="19.149999999999999">
      <c r="A1" s="21" t="s">
        <v>66</v>
      </c>
      <c r="B1" s="21"/>
      <c r="C1" s="21"/>
      <c r="D1" s="21"/>
      <c r="E1" s="21"/>
      <c r="F1" s="21"/>
      <c r="G1" s="2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6">
      <c r="A3" s="16" t="s">
        <v>16</v>
      </c>
      <c r="B3" s="16" t="s">
        <v>19</v>
      </c>
      <c r="C3" s="16" t="s">
        <v>24</v>
      </c>
      <c r="D3" s="16" t="s">
        <v>67</v>
      </c>
      <c r="E3" s="16" t="s">
        <v>68</v>
      </c>
      <c r="F3" s="16" t="s">
        <v>23</v>
      </c>
      <c r="G3" s="16" t="s">
        <v>69</v>
      </c>
      <c r="H3" s="1"/>
      <c r="I3" s="2" t="s">
        <v>70</v>
      </c>
      <c r="J3" s="2" t="s">
        <v>71</v>
      </c>
    </row>
    <row r="4" spans="1:10">
      <c r="A4" s="15" t="s">
        <v>25</v>
      </c>
      <c r="B4" s="15" t="s">
        <v>28</v>
      </c>
      <c r="C4" s="15" t="s">
        <v>30</v>
      </c>
      <c r="D4" s="17">
        <f>SUMIFS('Team-Match Data'!$F$2:$F$37,'Team-Match Data'!$D$2:$D$37,$B4)</f>
        <v>73</v>
      </c>
      <c r="E4" s="18">
        <f>SUMIFS('Team-Match Data'!$G$2:$G$37,'Team-Match Data'!$D$2:$D$37,$B4)</f>
        <v>6.79</v>
      </c>
      <c r="F4" s="19">
        <f t="shared" ref="F4:F15" si="0">IFERROR(E4/D4,"")</f>
        <v>9.301369863013699E-2</v>
      </c>
      <c r="G4" s="20">
        <f t="shared" ref="G4:G15" si="1">IFERROR(F4/E4,"")</f>
        <v>1.3698630136986302E-2</v>
      </c>
      <c r="H4" s="1"/>
      <c r="I4" s="1" t="s">
        <v>72</v>
      </c>
      <c r="J4" s="1">
        <f>COUNTIF($C$4:$C$15,"Advanced")</f>
        <v>7</v>
      </c>
    </row>
    <row r="5" spans="1:10">
      <c r="A5" s="15" t="s">
        <v>25</v>
      </c>
      <c r="B5" s="15" t="s">
        <v>29</v>
      </c>
      <c r="C5" s="15" t="s">
        <v>30</v>
      </c>
      <c r="D5" s="17">
        <f>SUMIFS('Team-Match Data'!$F$2:$F$37,'Team-Match Data'!$D$2:$D$37,$B5)</f>
        <v>48</v>
      </c>
      <c r="E5" s="18">
        <f>SUMIFS('Team-Match Data'!$G$2:$G$37,'Team-Match Data'!$D$2:$D$37,$B5)</f>
        <v>3.79</v>
      </c>
      <c r="F5" s="19">
        <f t="shared" si="0"/>
        <v>7.8958333333333339E-2</v>
      </c>
      <c r="G5" s="20">
        <f t="shared" si="1"/>
        <v>2.0833333333333336E-2</v>
      </c>
      <c r="H5" s="1"/>
      <c r="I5" s="1" t="s">
        <v>73</v>
      </c>
      <c r="J5" s="1">
        <f>COUNTIF($C$4:$C$15,"Eliminated")</f>
        <v>5</v>
      </c>
    </row>
    <row r="6" spans="1:10">
      <c r="A6" s="15" t="s">
        <v>25</v>
      </c>
      <c r="B6" s="15" t="s">
        <v>32</v>
      </c>
      <c r="C6" s="15" t="s">
        <v>34</v>
      </c>
      <c r="D6" s="17">
        <f>SUMIFS('Team-Match Data'!$F$2:$F$37,'Team-Match Data'!$D$2:$D$37,$B6)</f>
        <v>37</v>
      </c>
      <c r="E6" s="18">
        <f>SUMIFS('Team-Match Data'!$G$2:$G$37,'Team-Match Data'!$D$2:$D$37,$B6)</f>
        <v>4.09</v>
      </c>
      <c r="F6" s="19">
        <f t="shared" si="0"/>
        <v>0.11054054054054054</v>
      </c>
      <c r="G6" s="20">
        <f t="shared" si="1"/>
        <v>2.7027027027027025E-2</v>
      </c>
      <c r="H6" s="1"/>
      <c r="I6" s="1" t="s">
        <v>74</v>
      </c>
      <c r="J6" s="4">
        <f>SUMIF($C$4:$C$15,"Advanced",$F$4:$F$15)/COUNTIF($C$4:$C$15,"Advanced")</f>
        <v>0.10932173122050812</v>
      </c>
    </row>
    <row r="7" spans="1:10">
      <c r="A7" s="15" t="s">
        <v>25</v>
      </c>
      <c r="B7" s="15" t="s">
        <v>33</v>
      </c>
      <c r="C7" s="15" t="s">
        <v>34</v>
      </c>
      <c r="D7" s="17">
        <f>SUMIFS('Team-Match Data'!$F$2:$F$37,'Team-Match Data'!$D$2:$D$37,$B7)</f>
        <v>31</v>
      </c>
      <c r="E7" s="18">
        <f>SUMIFS('Team-Match Data'!$G$2:$G$37,'Team-Match Data'!$D$2:$D$37,$B7)</f>
        <v>2.82</v>
      </c>
      <c r="F7" s="19">
        <f t="shared" si="0"/>
        <v>9.0967741935483862E-2</v>
      </c>
      <c r="G7" s="20">
        <f t="shared" si="1"/>
        <v>3.2258064516129031E-2</v>
      </c>
      <c r="H7" s="1"/>
      <c r="I7" s="1" t="s">
        <v>75</v>
      </c>
      <c r="J7" s="4">
        <f>SUMIF($C$4:$C$15,"Eliminated",$F$4:$F$15)/COUNTIF($C$4:$C$15,"Eliminated")</f>
        <v>8.6560159896565431E-2</v>
      </c>
    </row>
    <row r="8" spans="1:10">
      <c r="A8" s="15" t="s">
        <v>42</v>
      </c>
      <c r="B8" s="15" t="s">
        <v>45</v>
      </c>
      <c r="C8" s="15" t="s">
        <v>30</v>
      </c>
      <c r="D8" s="17">
        <f>SUMIFS('Team-Match Data'!$F$2:$F$37,'Team-Match Data'!$D$2:$D$37,$B8)</f>
        <v>33</v>
      </c>
      <c r="E8" s="18">
        <f>SUMIFS('Team-Match Data'!$G$2:$G$37,'Team-Match Data'!$D$2:$D$37,$B8)</f>
        <v>2.4699999999999998</v>
      </c>
      <c r="F8" s="19">
        <f t="shared" si="0"/>
        <v>7.4848484848484845E-2</v>
      </c>
      <c r="G8" s="20">
        <f t="shared" si="1"/>
        <v>3.0303030303030304E-2</v>
      </c>
      <c r="H8" s="1"/>
      <c r="I8" s="1" t="s">
        <v>76</v>
      </c>
      <c r="J8" s="4">
        <f>J6-J7</f>
        <v>2.2761571323942686E-2</v>
      </c>
    </row>
    <row r="9" spans="1:10">
      <c r="A9" s="15" t="s">
        <v>42</v>
      </c>
      <c r="B9" s="15" t="s">
        <v>47</v>
      </c>
      <c r="C9" s="15" t="s">
        <v>34</v>
      </c>
      <c r="D9" s="17">
        <f>SUMIFS('Team-Match Data'!$F$2:$F$37,'Team-Match Data'!$D$2:$D$37,$B9)</f>
        <v>17</v>
      </c>
      <c r="E9" s="18">
        <f>SUMIFS('Team-Match Data'!$G$2:$G$37,'Team-Match Data'!$D$2:$D$37,$B9)</f>
        <v>1.19</v>
      </c>
      <c r="F9" s="19">
        <f t="shared" si="0"/>
        <v>6.9999999999999993E-2</v>
      </c>
      <c r="G9" s="20">
        <f t="shared" si="1"/>
        <v>5.8823529411764705E-2</v>
      </c>
      <c r="H9" s="1"/>
      <c r="I9" s="1"/>
      <c r="J9" s="1"/>
    </row>
    <row r="10" spans="1:10">
      <c r="A10" s="15" t="s">
        <v>42</v>
      </c>
      <c r="B10" s="15" t="s">
        <v>44</v>
      </c>
      <c r="C10" s="15" t="s">
        <v>30</v>
      </c>
      <c r="D10" s="17">
        <f>SUMIFS('Team-Match Data'!$F$2:$F$37,'Team-Match Data'!$D$2:$D$37,$B10)</f>
        <v>55</v>
      </c>
      <c r="E10" s="18">
        <f>SUMIFS('Team-Match Data'!$G$2:$G$37,'Team-Match Data'!$D$2:$D$37,$B10)</f>
        <v>5.8100000000000005</v>
      </c>
      <c r="F10" s="19">
        <f t="shared" si="0"/>
        <v>0.10563636363636364</v>
      </c>
      <c r="G10" s="20">
        <f t="shared" si="1"/>
        <v>1.8181818181818181E-2</v>
      </c>
      <c r="H10" s="1"/>
      <c r="I10" s="22" t="s">
        <v>77</v>
      </c>
      <c r="J10" s="22"/>
    </row>
    <row r="11" spans="1:10">
      <c r="A11" s="15" t="s">
        <v>42</v>
      </c>
      <c r="B11" s="15" t="s">
        <v>48</v>
      </c>
      <c r="C11" s="15" t="s">
        <v>34</v>
      </c>
      <c r="D11" s="17">
        <f>SUMIFS('Team-Match Data'!$F$2:$F$37,'Team-Match Data'!$D$2:$D$37,$B11)</f>
        <v>49</v>
      </c>
      <c r="E11" s="18">
        <f>SUMIFS('Team-Match Data'!$G$2:$G$37,'Team-Match Data'!$D$2:$D$37,$B11)</f>
        <v>4.24</v>
      </c>
      <c r="F11" s="19">
        <f t="shared" si="0"/>
        <v>8.653061224489797E-2</v>
      </c>
      <c r="G11" s="20">
        <f t="shared" si="1"/>
        <v>2.0408163265306124E-2</v>
      </c>
      <c r="H11" s="1"/>
      <c r="I11" s="22"/>
      <c r="J11" s="22"/>
    </row>
    <row r="12" spans="1:10">
      <c r="A12" s="15" t="s">
        <v>53</v>
      </c>
      <c r="B12" s="15" t="s">
        <v>56</v>
      </c>
      <c r="C12" s="15" t="s">
        <v>30</v>
      </c>
      <c r="D12" s="17">
        <f>SUMIFS('Team-Match Data'!$F$2:$F$37,'Team-Match Data'!$D$2:$D$37,$B12)</f>
        <v>48</v>
      </c>
      <c r="E12" s="18">
        <f>SUMIFS('Team-Match Data'!$G$2:$G$37,'Team-Match Data'!$D$2:$D$37,$B12)</f>
        <v>5.96</v>
      </c>
      <c r="F12" s="19">
        <f t="shared" si="0"/>
        <v>0.12416666666666666</v>
      </c>
      <c r="G12" s="20">
        <f t="shared" si="1"/>
        <v>2.0833333333333332E-2</v>
      </c>
      <c r="H12" s="1"/>
      <c r="I12" s="22"/>
      <c r="J12" s="22"/>
    </row>
    <row r="13" spans="1:10">
      <c r="A13" s="15" t="s">
        <v>53</v>
      </c>
      <c r="B13" s="15" t="s">
        <v>59</v>
      </c>
      <c r="C13" s="15" t="s">
        <v>34</v>
      </c>
      <c r="D13" s="17">
        <f>SUMIFS('Team-Match Data'!$F$2:$F$37,'Team-Match Data'!$D$2:$D$37,$B13)</f>
        <v>21</v>
      </c>
      <c r="E13" s="18">
        <f>SUMIFS('Team-Match Data'!$G$2:$G$37,'Team-Match Data'!$D$2:$D$37,$B13)</f>
        <v>1.5700000000000003</v>
      </c>
      <c r="F13" s="19">
        <f t="shared" si="0"/>
        <v>7.4761904761904779E-2</v>
      </c>
      <c r="G13" s="20">
        <f t="shared" si="1"/>
        <v>4.7619047619047623E-2</v>
      </c>
      <c r="H13" s="1"/>
      <c r="I13" s="1"/>
      <c r="J13" s="1"/>
    </row>
    <row r="14" spans="1:10">
      <c r="A14" s="15" t="s">
        <v>53</v>
      </c>
      <c r="B14" s="15" t="s">
        <v>60</v>
      </c>
      <c r="C14" s="15" t="s">
        <v>30</v>
      </c>
      <c r="D14" s="17">
        <f>SUMIFS('Team-Match Data'!$F$2:$F$37,'Team-Match Data'!$D$2:$D$37,$B14)</f>
        <v>35</v>
      </c>
      <c r="E14" s="18">
        <f>SUMIFS('Team-Match Data'!$G$2:$G$37,'Team-Match Data'!$D$2:$D$37,$B14)</f>
        <v>6.4200000000000008</v>
      </c>
      <c r="F14" s="19">
        <f t="shared" si="0"/>
        <v>0.18342857142857144</v>
      </c>
      <c r="G14" s="20">
        <f t="shared" si="1"/>
        <v>2.8571428571428571E-2</v>
      </c>
      <c r="H14" s="1"/>
      <c r="I14" s="1"/>
      <c r="J14" s="1"/>
    </row>
    <row r="15" spans="1:10">
      <c r="A15" s="15" t="s">
        <v>53</v>
      </c>
      <c r="B15" s="15" t="s">
        <v>57</v>
      </c>
      <c r="C15" s="15" t="s">
        <v>30</v>
      </c>
      <c r="D15" s="17">
        <f>SUMIFS('Team-Match Data'!$F$2:$F$37,'Team-Match Data'!$D$2:$D$37,$B15)</f>
        <v>50</v>
      </c>
      <c r="E15" s="18">
        <f>SUMIFS('Team-Match Data'!$G$2:$G$37,'Team-Match Data'!$D$2:$D$37,$B15)</f>
        <v>5.26</v>
      </c>
      <c r="F15" s="19">
        <f t="shared" si="0"/>
        <v>0.1052</v>
      </c>
      <c r="G15" s="20">
        <f t="shared" si="1"/>
        <v>0.02</v>
      </c>
      <c r="H15" s="1"/>
      <c r="I15" s="1"/>
      <c r="J15" s="1"/>
    </row>
  </sheetData>
  <mergeCells count="2">
    <mergeCell ref="A1:G1"/>
    <mergeCell ref="I10:J1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7" ma:contentTypeDescription="Create a new document." ma:contentTypeScope="" ma:versionID="ffc54e1a4586fd50a934657beb2559a9">
  <xsd:schema xmlns:xsd="http://www.w3.org/2001/XMLSchema" xmlns:xs="http://www.w3.org/2001/XMLSchema" xmlns:p="http://schemas.microsoft.com/office/2006/metadata/properties" xmlns:ns2="39a02643-6cd0-4bab-99cd-dce2e63a7a76" targetNamespace="http://schemas.microsoft.com/office/2006/metadata/properties" ma:root="true" ma:fieldsID="01a31a2aafbe5e98b23ab5af23f03da6" ns2:_="">
    <xsd:import namespace="39a02643-6cd0-4bab-99cd-dce2e63a7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2F5ADD-8649-4500-8E36-57DB2C3C71BE}"/>
</file>

<file path=customXml/itemProps2.xml><?xml version="1.0" encoding="utf-8"?>
<ds:datastoreItem xmlns:ds="http://schemas.openxmlformats.org/officeDocument/2006/customXml" ds:itemID="{E9965C6F-4733-4ADF-8862-3B1A77FEE331}"/>
</file>

<file path=customXml/itemProps3.xml><?xml version="1.0" encoding="utf-8"?>
<ds:datastoreItem xmlns:ds="http://schemas.openxmlformats.org/officeDocument/2006/customXml" ds:itemID="{4D693FEE-B187-44B6-84D4-B24BA8F2D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Nothing Pro</dc:creator>
  <cp:keywords/>
  <dc:description/>
  <cp:lastModifiedBy>Manish Chaudhary</cp:lastModifiedBy>
  <cp:revision/>
  <dcterms:created xsi:type="dcterms:W3CDTF">2026-08-15T13:48:30Z</dcterms:created>
  <dcterms:modified xsi:type="dcterms:W3CDTF">2026-08-16T01:18:45Z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</Properties>
</file>