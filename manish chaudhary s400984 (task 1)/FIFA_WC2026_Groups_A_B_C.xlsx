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5ac5e50e87ffecd9/Desktop/foundation of data science/"/>
    </mc:Choice>
  </mc:AlternateContent>
  <xr:revisionPtr revIDLastSave="0" documentId="8_{DEA475A4-EF2A-4F4A-9713-F8E3BC54F3E0}" xr6:coauthVersionLast="47" xr6:coauthVersionMax="47" xr10:uidLastSave="{00000000-0000-0000-0000-000000000000}"/>
  <bookViews>
    <workbookView xWindow="25695" yWindow="0" windowWidth="26010" windowHeight="20985" xr2:uid="{00000000-000D-0000-FFFF-FFFF00000000}"/>
  </bookViews>
  <sheets>
    <sheet name="README" sheetId="1" r:id="rId1"/>
    <sheet name="Team-Match Data" sheetId="2" r:id="rId2"/>
    <sheet name="Team Summary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5" i="3" l="1"/>
  <c r="G15" i="3" s="1"/>
  <c r="E15" i="3"/>
  <c r="D15" i="3"/>
  <c r="F14" i="3"/>
  <c r="E14" i="3"/>
  <c r="D14" i="3"/>
  <c r="F13" i="3"/>
  <c r="E13" i="3"/>
  <c r="D13" i="3"/>
  <c r="F12" i="3"/>
  <c r="E12" i="3"/>
  <c r="D12" i="3"/>
  <c r="F11" i="3"/>
  <c r="G11" i="3" s="1"/>
  <c r="E11" i="3"/>
  <c r="D11" i="3"/>
  <c r="F10" i="3"/>
  <c r="E10" i="3"/>
  <c r="D10" i="3"/>
  <c r="F9" i="3"/>
  <c r="E9" i="3"/>
  <c r="D9" i="3"/>
  <c r="F8" i="3"/>
  <c r="E8" i="3"/>
  <c r="D8" i="3"/>
  <c r="F7" i="3"/>
  <c r="G7" i="3" s="1"/>
  <c r="E7" i="3"/>
  <c r="D7" i="3"/>
  <c r="F6" i="3"/>
  <c r="E6" i="3"/>
  <c r="D6" i="3"/>
  <c r="J5" i="3"/>
  <c r="F5" i="3"/>
  <c r="E5" i="3"/>
  <c r="G5" i="3" s="1"/>
  <c r="D5" i="3"/>
  <c r="J4" i="3"/>
  <c r="F4" i="3"/>
  <c r="E4" i="3"/>
  <c r="D4" i="3"/>
  <c r="H37" i="2"/>
  <c r="H36" i="2"/>
  <c r="H35" i="2"/>
  <c r="H34" i="2"/>
  <c r="H33" i="2"/>
  <c r="H32" i="2"/>
  <c r="H31" i="2"/>
  <c r="H30" i="2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H7" i="2"/>
  <c r="H6" i="2"/>
  <c r="H5" i="2"/>
  <c r="H4" i="2"/>
  <c r="H3" i="2"/>
  <c r="H2" i="2"/>
  <c r="G10" i="3" l="1"/>
  <c r="G12" i="3"/>
  <c r="G6" i="3"/>
  <c r="G13" i="3"/>
  <c r="G4" i="3"/>
  <c r="G8" i="3"/>
  <c r="G14" i="3"/>
  <c r="J7" i="3" s="1"/>
  <c r="G9" i="3"/>
  <c r="J6" i="3" l="1"/>
  <c r="J8" i="3" s="1"/>
</calcChain>
</file>

<file path=xl/sharedStrings.xml><?xml version="1.0" encoding="utf-8"?>
<sst xmlns="http://schemas.openxmlformats.org/spreadsheetml/2006/main" count="258" uniqueCount="72">
  <si>
    <t>HIT140 FIFA World Cup 2026 — Groups A, B, C Dataset</t>
  </si>
  <si>
    <t>Research question</t>
  </si>
  <si>
    <t>Did teams that advanced to the Round of 32 create higher-quality scoring chances than teams eliminated, measured by xG per shot?</t>
  </si>
  <si>
    <t>Coverage</t>
  </si>
  <si>
    <t>Groups A, B and C only — 18 group-stage matches / 36 team-match rows / 12 teams.</t>
  </si>
  <si>
    <t>Primary source</t>
  </si>
  <si>
    <t>FIFA Training Centre Post-Match Summary Reports (PMSR).</t>
  </si>
  <si>
    <t>Key variables</t>
  </si>
  <si>
    <t>Attempts at Goal (total shots) and xG (Expected Goals).</t>
  </si>
  <si>
    <t>Derived metric</t>
  </si>
  <si>
    <t>xG per shot = xG ÷ Attempts at Goal.</t>
  </si>
  <si>
    <t>Outcome label</t>
  </si>
  <si>
    <t>Advanced = appeared in the FIFA Round of 32; otherwise Eliminated.</t>
  </si>
  <si>
    <t>Important</t>
  </si>
  <si>
    <t>Group</t>
  </si>
  <si>
    <t>Match</t>
  </si>
  <si>
    <t>Date</t>
  </si>
  <si>
    <t>Team</t>
  </si>
  <si>
    <t>Opponent</t>
  </si>
  <si>
    <t>Attempts at Goal</t>
  </si>
  <si>
    <t>xG</t>
  </si>
  <si>
    <t>xG per Shot</t>
  </si>
  <si>
    <t>Outcome</t>
  </si>
  <si>
    <t>A</t>
  </si>
  <si>
    <t>M01</t>
  </si>
  <si>
    <t>Mexico</t>
  </si>
  <si>
    <t>South Africa</t>
  </si>
  <si>
    <t>Advanced</t>
  </si>
  <si>
    <t>M02</t>
  </si>
  <si>
    <t>Korea Republic</t>
  </si>
  <si>
    <t>Czechia</t>
  </si>
  <si>
    <t>Eliminated</t>
  </si>
  <si>
    <t>M25</t>
  </si>
  <si>
    <t>M28</t>
  </si>
  <si>
    <t>M53</t>
  </si>
  <si>
    <t>M54</t>
  </si>
  <si>
    <t>B</t>
  </si>
  <si>
    <t>M03</t>
  </si>
  <si>
    <t>Canada</t>
  </si>
  <si>
    <t>Bosnia and Herzegovina</t>
  </si>
  <si>
    <t>M08</t>
  </si>
  <si>
    <t>Qatar</t>
  </si>
  <si>
    <t>Switzerland</t>
  </si>
  <si>
    <t>M26</t>
  </si>
  <si>
    <t>M27</t>
  </si>
  <si>
    <t>M51</t>
  </si>
  <si>
    <t>M52</t>
  </si>
  <si>
    <t>C</t>
  </si>
  <si>
    <t>M05</t>
  </si>
  <si>
    <t>Haiti</t>
  </si>
  <si>
    <t>Scotland</t>
  </si>
  <si>
    <t>M07</t>
  </si>
  <si>
    <t>Brazil</t>
  </si>
  <si>
    <t>Morocco</t>
  </si>
  <si>
    <t>M29</t>
  </si>
  <si>
    <t>M30</t>
  </si>
  <si>
    <t>M49</t>
  </si>
  <si>
    <t>M50</t>
  </si>
  <si>
    <t>Team-Level Group-Stage Summary (Groups A-C)</t>
  </si>
  <si>
    <t>Matches</t>
  </si>
  <si>
    <t>Total Attempts</t>
  </si>
  <si>
    <t>Total xG</t>
  </si>
  <si>
    <t>Groups A-C preliminary comparison</t>
  </si>
  <si>
    <t>Value</t>
  </si>
  <si>
    <t>Advanced teams</t>
  </si>
  <si>
    <t>Eliminated teams</t>
  </si>
  <si>
    <t>Mean xG/shot — Advanced</t>
  </si>
  <si>
    <t>Mean xG/shot — Eliminated</t>
  </si>
  <si>
    <t>Difference (Advanced - Eliminated)</t>
  </si>
  <si>
    <t xml:space="preserve">This is only the A-C portion. </t>
  </si>
  <si>
    <t>The formula is:
xG per shot = xG ÷ Attempts at Goal</t>
  </si>
  <si>
    <t>we need two row Because in one match, both teams have different shots and different xG.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</si>
</sst>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0.0000"/>
  </numFmts>
  <fonts count="5">
    <font>
      <sz val="11"/>
      <name val="Carlito"/>
    </font>
    <font>
      <b/>
      <sz val="15"/>
      <color rgb="FFFFFFFF"/>
      <name val="Carlito"/>
    </font>
    <font>
      <b/>
      <sz val="11"/>
      <color rgb="FF0B3D91"/>
      <name val="Carlito"/>
    </font>
    <font>
      <sz val="11"/>
      <color rgb="FF5B4500"/>
      <name val="Carlito"/>
    </font>
    <font>
      <b/>
      <sz val="11"/>
      <color rgb="FF1F2937"/>
      <name val="Carlito"/>
    </font>
  </fonts>
  <fills count="7">
    <fill>
      <patternFill patternType="none"/>
    </fill>
    <fill>
      <patternFill patternType="gray125"/>
    </fill>
    <fill>
      <patternFill patternType="solid">
        <fgColor rgb="FF0B3D91"/>
      </patternFill>
    </fill>
    <fill>
      <patternFill patternType="solid">
        <fgColor rgb="FFE8F4F8"/>
      </patternFill>
    </fill>
    <fill>
      <patternFill patternType="solid">
        <fgColor rgb="FFFFF4CC"/>
      </patternFill>
    </fill>
    <fill>
      <patternFill patternType="solid">
        <fgColor rgb="FFDCE6F1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3" borderId="0" xfId="0" applyFont="1" applyFill="1"/>
    <xf numFmtId="0" fontId="0" fillId="0" borderId="0" xfId="0" applyAlignment="1">
      <alignment wrapText="1"/>
    </xf>
    <xf numFmtId="0" fontId="4" fillId="5" borderId="0" xfId="0" applyFont="1" applyFill="1" applyAlignment="1">
      <alignment horizontal="center" vertical="center" wrapText="1"/>
    </xf>
    <xf numFmtId="1" fontId="0" fillId="0" borderId="0" xfId="0" applyNumberFormat="1"/>
    <xf numFmtId="2" fontId="0" fillId="0" borderId="0" xfId="0" applyNumberFormat="1"/>
    <xf numFmtId="165" fontId="0" fillId="0" borderId="0" xfId="0" applyNumberFormat="1"/>
    <xf numFmtId="164" fontId="0" fillId="0" borderId="0" xfId="0" applyNumberFormat="1" applyAlignment="1">
      <alignment wrapText="1"/>
    </xf>
    <xf numFmtId="1" fontId="0" fillId="0" borderId="0" xfId="0" applyNumberFormat="1" applyAlignment="1">
      <alignment wrapText="1"/>
    </xf>
    <xf numFmtId="2" fontId="0" fillId="0" borderId="0" xfId="0" applyNumberFormat="1" applyAlignment="1">
      <alignment wrapText="1"/>
    </xf>
    <xf numFmtId="165" fontId="0" fillId="0" borderId="0" xfId="0" applyNumberFormat="1" applyAlignment="1">
      <alignment wrapText="1"/>
    </xf>
    <xf numFmtId="0" fontId="1" fillId="2" borderId="0" xfId="0" applyFont="1" applyFill="1" applyAlignment="1">
      <alignment vertical="center"/>
    </xf>
    <xf numFmtId="0" fontId="3" fillId="4" borderId="0" xfId="0" applyFont="1" applyFill="1" applyAlignment="1">
      <alignment wrapText="1"/>
    </xf>
    <xf numFmtId="0" fontId="0" fillId="6" borderId="0" xfId="0" applyFill="1"/>
  </cellXfs>
  <cellStyles count="1">
    <cellStyle name="Normal" xfId="0" builtinId="0"/>
  </cellStyles>
  <dxfs count="2">
    <dxf>
      <font>
        <color rgb="FF991B1B"/>
      </font>
      <fill>
        <patternFill patternType="solid">
          <bgColor rgb="FFFEE2E2"/>
        </patternFill>
      </fill>
    </dxf>
    <dxf>
      <font>
        <color rgb="FF166534"/>
      </font>
      <fill>
        <patternFill patternType="solid">
          <bgColor rgb="FFDCFCE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eamMatchTable" displayName="TeamMatchTable" ref="A1:I37" totalsRowShown="0">
  <tableColumns count="9">
    <tableColumn id="1" xr3:uid="{00000000-0010-0000-0000-000001000000}" name="Group"/>
    <tableColumn id="2" xr3:uid="{00000000-0010-0000-0000-000002000000}" name="Match"/>
    <tableColumn id="3" xr3:uid="{00000000-0010-0000-0000-000003000000}" name="Date"/>
    <tableColumn id="4" xr3:uid="{00000000-0010-0000-0000-000004000000}" name="Team"/>
    <tableColumn id="5" xr3:uid="{00000000-0010-0000-0000-000005000000}" name="Opponent"/>
    <tableColumn id="6" xr3:uid="{00000000-0010-0000-0000-000006000000}" name="Attempts at Goal"/>
    <tableColumn id="7" xr3:uid="{00000000-0010-0000-0000-000007000000}" name="xG"/>
    <tableColumn id="8" xr3:uid="{00000000-0010-0000-0000-000008000000}" name="xG per Shot"/>
    <tableColumn id="9" xr3:uid="{00000000-0010-0000-0000-000009000000}" name="Outcom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eamSummaryTable" displayName="TeamSummaryTable" ref="A3:G15" totalsRowShown="0">
  <tableColumns count="7">
    <tableColumn id="1" xr3:uid="{00000000-0010-0000-0100-000001000000}" name="Group"/>
    <tableColumn id="2" xr3:uid="{00000000-0010-0000-0100-000002000000}" name="Team"/>
    <tableColumn id="3" xr3:uid="{00000000-0010-0000-0100-000003000000}" name="Outcome"/>
    <tableColumn id="4" xr3:uid="{00000000-0010-0000-0100-000004000000}" name="Matches"/>
    <tableColumn id="5" xr3:uid="{00000000-0010-0000-0100-000005000000}" name="Total Attempts"/>
    <tableColumn id="6" xr3:uid="{00000000-0010-0000-0100-000006000000}" name="Total xG"/>
    <tableColumn id="7" xr3:uid="{00000000-0010-0000-0100-000007000000}" name="xG per Sho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"/>
  <sheetViews>
    <sheetView tabSelected="1" workbookViewId="0">
      <selection activeCell="B18" sqref="B18"/>
    </sheetView>
  </sheetViews>
  <sheetFormatPr defaultRowHeight="14.25"/>
  <cols>
    <col min="1" max="1" width="22" customWidth="1"/>
    <col min="2" max="2" width="72" customWidth="1"/>
  </cols>
  <sheetData>
    <row r="1" spans="1:8" ht="19.5">
      <c r="A1" s="11" t="s">
        <v>0</v>
      </c>
      <c r="B1" s="11"/>
      <c r="C1" s="11"/>
      <c r="D1" s="11"/>
      <c r="E1" s="11"/>
      <c r="F1" s="11"/>
      <c r="G1" s="11"/>
      <c r="H1" s="11"/>
    </row>
    <row r="3" spans="1:8" ht="29.25">
      <c r="A3" s="1" t="s">
        <v>1</v>
      </c>
      <c r="B3" s="2" t="s">
        <v>2</v>
      </c>
    </row>
    <row r="4" spans="1:8" ht="29.25">
      <c r="A4" s="1" t="s">
        <v>3</v>
      </c>
      <c r="B4" s="2" t="s">
        <v>4</v>
      </c>
    </row>
    <row r="5" spans="1:8" ht="15">
      <c r="A5" s="1" t="s">
        <v>5</v>
      </c>
      <c r="B5" s="2" t="s">
        <v>6</v>
      </c>
    </row>
    <row r="6" spans="1:8" ht="15">
      <c r="A6" s="1" t="s">
        <v>7</v>
      </c>
      <c r="B6" s="2" t="s">
        <v>8</v>
      </c>
    </row>
    <row r="7" spans="1:8" ht="15">
      <c r="A7" s="1" t="s">
        <v>9</v>
      </c>
      <c r="B7" s="2" t="s">
        <v>10</v>
      </c>
    </row>
    <row r="8" spans="1:8" ht="15">
      <c r="A8" s="1" t="s">
        <v>11</v>
      </c>
      <c r="B8" s="2" t="s">
        <v>12</v>
      </c>
    </row>
    <row r="9" spans="1:8" ht="15">
      <c r="A9" s="1" t="s">
        <v>13</v>
      </c>
      <c r="B9" s="2" t="s">
        <v>69</v>
      </c>
    </row>
    <row r="15" spans="1:8" ht="42.75">
      <c r="B15" s="2" t="s">
        <v>70</v>
      </c>
    </row>
  </sheetData>
  <mergeCells count="1">
    <mergeCell ref="A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37"/>
  <sheetViews>
    <sheetView workbookViewId="0">
      <selection activeCell="N19" sqref="N19"/>
    </sheetView>
  </sheetViews>
  <sheetFormatPr defaultRowHeight="14.25"/>
  <cols>
    <col min="1" max="1" width="8" customWidth="1"/>
    <col min="2" max="2" width="9" customWidth="1"/>
    <col min="3" max="3" width="13" customWidth="1"/>
    <col min="4" max="5" width="24" customWidth="1"/>
    <col min="6" max="6" width="16" customWidth="1"/>
    <col min="7" max="7" width="10" customWidth="1"/>
    <col min="8" max="8" width="14" customWidth="1"/>
    <col min="9" max="9" width="13" customWidth="1"/>
  </cols>
  <sheetData>
    <row r="1" spans="1:14" ht="15">
      <c r="A1" s="3" t="s">
        <v>14</v>
      </c>
      <c r="B1" s="3" t="s">
        <v>15</v>
      </c>
      <c r="C1" s="3" t="s">
        <v>16</v>
      </c>
      <c r="D1" s="3" t="s">
        <v>17</v>
      </c>
      <c r="E1" s="3" t="s">
        <v>18</v>
      </c>
      <c r="F1" s="3" t="s">
        <v>19</v>
      </c>
      <c r="G1" s="3" t="s">
        <v>20</v>
      </c>
      <c r="H1" s="3" t="s">
        <v>21</v>
      </c>
      <c r="I1" s="3" t="s">
        <v>22</v>
      </c>
    </row>
    <row r="2" spans="1:14">
      <c r="A2" s="2" t="s">
        <v>23</v>
      </c>
      <c r="B2" s="2" t="s">
        <v>24</v>
      </c>
      <c r="C2" s="7">
        <v>46184</v>
      </c>
      <c r="D2" s="2" t="s">
        <v>25</v>
      </c>
      <c r="E2" s="2" t="s">
        <v>26</v>
      </c>
      <c r="F2" s="8">
        <v>16</v>
      </c>
      <c r="G2" s="9">
        <v>1.78</v>
      </c>
      <c r="H2" s="10">
        <f t="shared" ref="H2:H37" si="0">IFERROR(G2/F2,"")</f>
        <v>0.11125</v>
      </c>
      <c r="I2" s="2" t="s">
        <v>27</v>
      </c>
    </row>
    <row r="3" spans="1:14">
      <c r="A3" s="2" t="s">
        <v>23</v>
      </c>
      <c r="B3" s="2" t="s">
        <v>24</v>
      </c>
      <c r="C3" s="7">
        <v>46184</v>
      </c>
      <c r="D3" s="2" t="s">
        <v>26</v>
      </c>
      <c r="E3" s="2" t="s">
        <v>25</v>
      </c>
      <c r="F3" s="8">
        <v>3</v>
      </c>
      <c r="G3" s="9">
        <v>0.1</v>
      </c>
      <c r="H3" s="10">
        <f t="shared" si="0"/>
        <v>3.3333333333333333E-2</v>
      </c>
      <c r="I3" s="2" t="s">
        <v>27</v>
      </c>
    </row>
    <row r="4" spans="1:14">
      <c r="A4" s="2" t="s">
        <v>23</v>
      </c>
      <c r="B4" s="2" t="s">
        <v>28</v>
      </c>
      <c r="C4" s="7">
        <v>46184</v>
      </c>
      <c r="D4" s="2" t="s">
        <v>29</v>
      </c>
      <c r="E4" s="2" t="s">
        <v>30</v>
      </c>
      <c r="F4" s="8">
        <v>15</v>
      </c>
      <c r="G4" s="9">
        <v>1.77</v>
      </c>
      <c r="H4" s="10">
        <f t="shared" si="0"/>
        <v>0.11800000000000001</v>
      </c>
      <c r="I4" s="2" t="s">
        <v>31</v>
      </c>
    </row>
    <row r="5" spans="1:14">
      <c r="A5" s="2" t="s">
        <v>23</v>
      </c>
      <c r="B5" s="2" t="s">
        <v>28</v>
      </c>
      <c r="C5" s="7">
        <v>46184</v>
      </c>
      <c r="D5" s="2" t="s">
        <v>30</v>
      </c>
      <c r="E5" s="2" t="s">
        <v>29</v>
      </c>
      <c r="F5" s="8">
        <v>7</v>
      </c>
      <c r="G5" s="9">
        <v>0.64</v>
      </c>
      <c r="H5" s="10">
        <f t="shared" si="0"/>
        <v>9.1428571428571428E-2</v>
      </c>
      <c r="I5" s="2" t="s">
        <v>31</v>
      </c>
    </row>
    <row r="6" spans="1:14">
      <c r="A6" s="2" t="s">
        <v>23</v>
      </c>
      <c r="B6" s="2" t="s">
        <v>32</v>
      </c>
      <c r="C6" s="7">
        <v>46191</v>
      </c>
      <c r="D6" s="2" t="s">
        <v>30</v>
      </c>
      <c r="E6" s="2" t="s">
        <v>26</v>
      </c>
      <c r="F6" s="8">
        <v>14</v>
      </c>
      <c r="G6" s="9">
        <v>1.36</v>
      </c>
      <c r="H6" s="10">
        <f t="shared" si="0"/>
        <v>9.7142857142857156E-2</v>
      </c>
      <c r="I6" s="2" t="s">
        <v>31</v>
      </c>
    </row>
    <row r="7" spans="1:14">
      <c r="A7" s="2" t="s">
        <v>23</v>
      </c>
      <c r="B7" s="2" t="s">
        <v>32</v>
      </c>
      <c r="C7" s="7">
        <v>46191</v>
      </c>
      <c r="D7" s="2" t="s">
        <v>26</v>
      </c>
      <c r="E7" s="2" t="s">
        <v>30</v>
      </c>
      <c r="F7" s="8">
        <v>17</v>
      </c>
      <c r="G7" s="9">
        <v>1.34</v>
      </c>
      <c r="H7" s="10">
        <f t="shared" si="0"/>
        <v>7.8823529411764709E-2</v>
      </c>
      <c r="I7" s="2" t="s">
        <v>27</v>
      </c>
      <c r="L7" s="13" t="s">
        <v>71</v>
      </c>
      <c r="M7" s="13"/>
      <c r="N7" s="13"/>
    </row>
    <row r="8" spans="1:14">
      <c r="A8" s="2" t="s">
        <v>23</v>
      </c>
      <c r="B8" s="2" t="s">
        <v>33</v>
      </c>
      <c r="C8" s="7">
        <v>46191</v>
      </c>
      <c r="D8" s="2" t="s">
        <v>25</v>
      </c>
      <c r="E8" s="2" t="s">
        <v>29</v>
      </c>
      <c r="F8" s="8">
        <v>8</v>
      </c>
      <c r="G8" s="9">
        <v>0.34</v>
      </c>
      <c r="H8" s="10">
        <f t="shared" si="0"/>
        <v>4.2500000000000003E-2</v>
      </c>
      <c r="I8" s="2" t="s">
        <v>27</v>
      </c>
    </row>
    <row r="9" spans="1:14">
      <c r="A9" s="2" t="s">
        <v>23</v>
      </c>
      <c r="B9" s="2" t="s">
        <v>33</v>
      </c>
      <c r="C9" s="7">
        <v>46191</v>
      </c>
      <c r="D9" s="2" t="s">
        <v>29</v>
      </c>
      <c r="E9" s="2" t="s">
        <v>25</v>
      </c>
      <c r="F9" s="8">
        <v>9</v>
      </c>
      <c r="G9" s="9">
        <v>0.87</v>
      </c>
      <c r="H9" s="10">
        <f t="shared" si="0"/>
        <v>9.6666666666666665E-2</v>
      </c>
      <c r="I9" s="2" t="s">
        <v>31</v>
      </c>
    </row>
    <row r="10" spans="1:14">
      <c r="A10" s="2" t="s">
        <v>23</v>
      </c>
      <c r="B10" s="2" t="s">
        <v>34</v>
      </c>
      <c r="C10" s="7">
        <v>46197</v>
      </c>
      <c r="D10" s="2" t="s">
        <v>30</v>
      </c>
      <c r="E10" s="2" t="s">
        <v>25</v>
      </c>
      <c r="F10" s="8">
        <v>13</v>
      </c>
      <c r="G10" s="9">
        <v>0.44</v>
      </c>
      <c r="H10" s="10">
        <f t="shared" si="0"/>
        <v>3.3846153846153845E-2</v>
      </c>
      <c r="I10" s="2" t="s">
        <v>31</v>
      </c>
    </row>
    <row r="11" spans="1:14">
      <c r="A11" s="2" t="s">
        <v>23</v>
      </c>
      <c r="B11" s="2" t="s">
        <v>34</v>
      </c>
      <c r="C11" s="7">
        <v>46197</v>
      </c>
      <c r="D11" s="2" t="s">
        <v>25</v>
      </c>
      <c r="E11" s="2" t="s">
        <v>30</v>
      </c>
      <c r="F11" s="8">
        <v>11</v>
      </c>
      <c r="G11" s="9">
        <v>2.1</v>
      </c>
      <c r="H11" s="10">
        <f t="shared" si="0"/>
        <v>0.19090909090909092</v>
      </c>
      <c r="I11" s="2" t="s">
        <v>27</v>
      </c>
    </row>
    <row r="12" spans="1:14">
      <c r="A12" s="2" t="s">
        <v>23</v>
      </c>
      <c r="B12" s="2" t="s">
        <v>35</v>
      </c>
      <c r="C12" s="7">
        <v>46197</v>
      </c>
      <c r="D12" s="2" t="s">
        <v>26</v>
      </c>
      <c r="E12" s="2" t="s">
        <v>29</v>
      </c>
      <c r="F12" s="8">
        <v>13</v>
      </c>
      <c r="G12" s="9">
        <v>0.89</v>
      </c>
      <c r="H12" s="10">
        <f t="shared" si="0"/>
        <v>6.8461538461538463E-2</v>
      </c>
      <c r="I12" s="2" t="s">
        <v>27</v>
      </c>
    </row>
    <row r="13" spans="1:14">
      <c r="A13" s="2" t="s">
        <v>23</v>
      </c>
      <c r="B13" s="2" t="s">
        <v>35</v>
      </c>
      <c r="C13" s="7">
        <v>46197</v>
      </c>
      <c r="D13" s="2" t="s">
        <v>29</v>
      </c>
      <c r="E13" s="2" t="s">
        <v>26</v>
      </c>
      <c r="F13" s="8">
        <v>8</v>
      </c>
      <c r="G13" s="9">
        <v>0.74</v>
      </c>
      <c r="H13" s="10">
        <f t="shared" si="0"/>
        <v>9.2499999999999999E-2</v>
      </c>
      <c r="I13" s="2" t="s">
        <v>31</v>
      </c>
    </row>
    <row r="14" spans="1:14">
      <c r="A14" s="2" t="s">
        <v>36</v>
      </c>
      <c r="B14" s="2" t="s">
        <v>37</v>
      </c>
      <c r="C14" s="7">
        <v>46185</v>
      </c>
      <c r="D14" s="2" t="s">
        <v>38</v>
      </c>
      <c r="E14" s="2" t="s">
        <v>39</v>
      </c>
      <c r="F14" s="8">
        <v>13</v>
      </c>
      <c r="G14" s="9">
        <v>1.49</v>
      </c>
      <c r="H14" s="10">
        <f t="shared" si="0"/>
        <v>0.11461538461538462</v>
      </c>
      <c r="I14" s="2" t="s">
        <v>27</v>
      </c>
    </row>
    <row r="15" spans="1:14">
      <c r="A15" s="2" t="s">
        <v>36</v>
      </c>
      <c r="B15" s="2" t="s">
        <v>37</v>
      </c>
      <c r="C15" s="7">
        <v>46185</v>
      </c>
      <c r="D15" s="2" t="s">
        <v>39</v>
      </c>
      <c r="E15" s="2" t="s">
        <v>38</v>
      </c>
      <c r="F15" s="8">
        <v>8</v>
      </c>
      <c r="G15" s="9">
        <v>0.76</v>
      </c>
      <c r="H15" s="10">
        <f t="shared" si="0"/>
        <v>9.5000000000000001E-2</v>
      </c>
      <c r="I15" s="2" t="s">
        <v>27</v>
      </c>
    </row>
    <row r="16" spans="1:14">
      <c r="A16" s="2" t="s">
        <v>36</v>
      </c>
      <c r="B16" s="2" t="s">
        <v>40</v>
      </c>
      <c r="C16" s="7">
        <v>46186</v>
      </c>
      <c r="D16" s="2" t="s">
        <v>41</v>
      </c>
      <c r="E16" s="2" t="s">
        <v>42</v>
      </c>
      <c r="F16" s="8">
        <v>6</v>
      </c>
      <c r="G16" s="9">
        <v>0.52</v>
      </c>
      <c r="H16" s="10">
        <f t="shared" si="0"/>
        <v>8.666666666666667E-2</v>
      </c>
      <c r="I16" s="2" t="s">
        <v>31</v>
      </c>
    </row>
    <row r="17" spans="1:9">
      <c r="A17" s="2" t="s">
        <v>36</v>
      </c>
      <c r="B17" s="2" t="s">
        <v>40</v>
      </c>
      <c r="C17" s="7">
        <v>46186</v>
      </c>
      <c r="D17" s="2" t="s">
        <v>42</v>
      </c>
      <c r="E17" s="2" t="s">
        <v>41</v>
      </c>
      <c r="F17" s="8">
        <v>26</v>
      </c>
      <c r="G17" s="9">
        <v>3.14</v>
      </c>
      <c r="H17" s="10">
        <f t="shared" si="0"/>
        <v>0.12076923076923077</v>
      </c>
      <c r="I17" s="2" t="s">
        <v>27</v>
      </c>
    </row>
    <row r="18" spans="1:9">
      <c r="A18" s="2" t="s">
        <v>36</v>
      </c>
      <c r="B18" s="2" t="s">
        <v>43</v>
      </c>
      <c r="C18" s="7">
        <v>46191</v>
      </c>
      <c r="D18" s="2" t="s">
        <v>42</v>
      </c>
      <c r="E18" s="2" t="s">
        <v>39</v>
      </c>
      <c r="F18" s="8">
        <v>13</v>
      </c>
      <c r="G18" s="9">
        <v>1.85</v>
      </c>
      <c r="H18" s="10">
        <f t="shared" si="0"/>
        <v>0.1423076923076923</v>
      </c>
      <c r="I18" s="2" t="s">
        <v>27</v>
      </c>
    </row>
    <row r="19" spans="1:9">
      <c r="A19" s="2" t="s">
        <v>36</v>
      </c>
      <c r="B19" s="2" t="s">
        <v>43</v>
      </c>
      <c r="C19" s="7">
        <v>46191</v>
      </c>
      <c r="D19" s="2" t="s">
        <v>39</v>
      </c>
      <c r="E19" s="2" t="s">
        <v>42</v>
      </c>
      <c r="F19" s="8">
        <v>5</v>
      </c>
      <c r="G19" s="9">
        <v>0.3</v>
      </c>
      <c r="H19" s="10">
        <f t="shared" si="0"/>
        <v>0.06</v>
      </c>
      <c r="I19" s="2" t="s">
        <v>27</v>
      </c>
    </row>
    <row r="20" spans="1:9">
      <c r="A20" s="2" t="s">
        <v>36</v>
      </c>
      <c r="B20" s="2" t="s">
        <v>44</v>
      </c>
      <c r="C20" s="7">
        <v>46191</v>
      </c>
      <c r="D20" s="2" t="s">
        <v>38</v>
      </c>
      <c r="E20" s="2" t="s">
        <v>41</v>
      </c>
      <c r="F20" s="8">
        <v>33</v>
      </c>
      <c r="G20" s="9">
        <v>3.9</v>
      </c>
      <c r="H20" s="10">
        <f t="shared" si="0"/>
        <v>0.11818181818181818</v>
      </c>
      <c r="I20" s="2" t="s">
        <v>27</v>
      </c>
    </row>
    <row r="21" spans="1:9">
      <c r="A21" s="2" t="s">
        <v>36</v>
      </c>
      <c r="B21" s="2" t="s">
        <v>44</v>
      </c>
      <c r="C21" s="7">
        <v>46191</v>
      </c>
      <c r="D21" s="2" t="s">
        <v>41</v>
      </c>
      <c r="E21" s="2" t="s">
        <v>38</v>
      </c>
      <c r="F21" s="8">
        <v>2</v>
      </c>
      <c r="G21" s="9">
        <v>0.2</v>
      </c>
      <c r="H21" s="10">
        <f t="shared" si="0"/>
        <v>0.1</v>
      </c>
      <c r="I21" s="2" t="s">
        <v>31</v>
      </c>
    </row>
    <row r="22" spans="1:9">
      <c r="A22" s="2" t="s">
        <v>36</v>
      </c>
      <c r="B22" s="2" t="s">
        <v>45</v>
      </c>
      <c r="C22" s="7">
        <v>46197</v>
      </c>
      <c r="D22" s="2" t="s">
        <v>42</v>
      </c>
      <c r="E22" s="2" t="s">
        <v>38</v>
      </c>
      <c r="F22" s="8">
        <v>6</v>
      </c>
      <c r="G22" s="9">
        <v>1.68</v>
      </c>
      <c r="H22" s="10">
        <f t="shared" si="0"/>
        <v>0.27999999999999997</v>
      </c>
      <c r="I22" s="2" t="s">
        <v>27</v>
      </c>
    </row>
    <row r="23" spans="1:9">
      <c r="A23" s="2" t="s">
        <v>36</v>
      </c>
      <c r="B23" s="2" t="s">
        <v>45</v>
      </c>
      <c r="C23" s="7">
        <v>46197</v>
      </c>
      <c r="D23" s="2" t="s">
        <v>38</v>
      </c>
      <c r="E23" s="2" t="s">
        <v>42</v>
      </c>
      <c r="F23" s="8">
        <v>13</v>
      </c>
      <c r="G23" s="9">
        <v>1.61</v>
      </c>
      <c r="H23" s="10">
        <f t="shared" si="0"/>
        <v>0.12384615384615386</v>
      </c>
      <c r="I23" s="2" t="s">
        <v>27</v>
      </c>
    </row>
    <row r="24" spans="1:9">
      <c r="A24" s="2" t="s">
        <v>36</v>
      </c>
      <c r="B24" s="2" t="s">
        <v>46</v>
      </c>
      <c r="C24" s="7">
        <v>46197</v>
      </c>
      <c r="D24" s="2" t="s">
        <v>39</v>
      </c>
      <c r="E24" s="2" t="s">
        <v>41</v>
      </c>
      <c r="F24" s="8">
        <v>14</v>
      </c>
      <c r="G24" s="9">
        <v>0.77</v>
      </c>
      <c r="H24" s="10">
        <f t="shared" si="0"/>
        <v>5.5E-2</v>
      </c>
      <c r="I24" s="2" t="s">
        <v>27</v>
      </c>
    </row>
    <row r="25" spans="1:9">
      <c r="A25" s="2" t="s">
        <v>36</v>
      </c>
      <c r="B25" s="2" t="s">
        <v>46</v>
      </c>
      <c r="C25" s="7">
        <v>46197</v>
      </c>
      <c r="D25" s="2" t="s">
        <v>41</v>
      </c>
      <c r="E25" s="2" t="s">
        <v>39</v>
      </c>
      <c r="F25" s="8">
        <v>9</v>
      </c>
      <c r="G25" s="9">
        <v>1.17</v>
      </c>
      <c r="H25" s="10">
        <f t="shared" si="0"/>
        <v>0.13</v>
      </c>
      <c r="I25" s="2" t="s">
        <v>31</v>
      </c>
    </row>
    <row r="26" spans="1:9">
      <c r="A26" s="2" t="s">
        <v>47</v>
      </c>
      <c r="B26" s="2" t="s">
        <v>48</v>
      </c>
      <c r="C26" s="7">
        <v>46186</v>
      </c>
      <c r="D26" s="2" t="s">
        <v>49</v>
      </c>
      <c r="E26" s="2" t="s">
        <v>50</v>
      </c>
      <c r="F26" s="8">
        <v>15</v>
      </c>
      <c r="G26" s="9">
        <v>0.7</v>
      </c>
      <c r="H26" s="10">
        <f t="shared" si="0"/>
        <v>4.6666666666666662E-2</v>
      </c>
      <c r="I26" s="2" t="s">
        <v>31</v>
      </c>
    </row>
    <row r="27" spans="1:9">
      <c r="A27" s="2" t="s">
        <v>47</v>
      </c>
      <c r="B27" s="2" t="s">
        <v>48</v>
      </c>
      <c r="C27" s="7">
        <v>46186</v>
      </c>
      <c r="D27" s="2" t="s">
        <v>50</v>
      </c>
      <c r="E27" s="2" t="s">
        <v>49</v>
      </c>
      <c r="F27" s="8">
        <v>9</v>
      </c>
      <c r="G27" s="9">
        <v>0.91</v>
      </c>
      <c r="H27" s="10">
        <f t="shared" si="0"/>
        <v>0.10111111111111111</v>
      </c>
      <c r="I27" s="2" t="s">
        <v>31</v>
      </c>
    </row>
    <row r="28" spans="1:9">
      <c r="A28" s="2" t="s">
        <v>47</v>
      </c>
      <c r="B28" s="2" t="s">
        <v>51</v>
      </c>
      <c r="C28" s="7">
        <v>46186</v>
      </c>
      <c r="D28" s="2" t="s">
        <v>52</v>
      </c>
      <c r="E28" s="2" t="s">
        <v>53</v>
      </c>
      <c r="F28" s="8">
        <v>12</v>
      </c>
      <c r="G28" s="9">
        <v>0.99</v>
      </c>
      <c r="H28" s="10">
        <f t="shared" si="0"/>
        <v>8.2500000000000004E-2</v>
      </c>
      <c r="I28" s="2" t="s">
        <v>27</v>
      </c>
    </row>
    <row r="29" spans="1:9">
      <c r="A29" s="2" t="s">
        <v>47</v>
      </c>
      <c r="B29" s="2" t="s">
        <v>51</v>
      </c>
      <c r="C29" s="7">
        <v>46186</v>
      </c>
      <c r="D29" s="2" t="s">
        <v>53</v>
      </c>
      <c r="E29" s="2" t="s">
        <v>52</v>
      </c>
      <c r="F29" s="8">
        <v>14</v>
      </c>
      <c r="G29" s="9">
        <v>1.33</v>
      </c>
      <c r="H29" s="10">
        <f t="shared" si="0"/>
        <v>9.5000000000000001E-2</v>
      </c>
      <c r="I29" s="2" t="s">
        <v>27</v>
      </c>
    </row>
    <row r="30" spans="1:9">
      <c r="A30" s="2" t="s">
        <v>47</v>
      </c>
      <c r="B30" s="2" t="s">
        <v>54</v>
      </c>
      <c r="C30" s="7">
        <v>46192</v>
      </c>
      <c r="D30" s="2" t="s">
        <v>52</v>
      </c>
      <c r="E30" s="2" t="s">
        <v>49</v>
      </c>
      <c r="F30" s="8">
        <v>7</v>
      </c>
      <c r="G30" s="9">
        <v>1.42</v>
      </c>
      <c r="H30" s="10">
        <f t="shared" si="0"/>
        <v>0.20285714285714285</v>
      </c>
      <c r="I30" s="2" t="s">
        <v>27</v>
      </c>
    </row>
    <row r="31" spans="1:9">
      <c r="A31" s="2" t="s">
        <v>47</v>
      </c>
      <c r="B31" s="2" t="s">
        <v>54</v>
      </c>
      <c r="C31" s="7">
        <v>46192</v>
      </c>
      <c r="D31" s="2" t="s">
        <v>49</v>
      </c>
      <c r="E31" s="2" t="s">
        <v>52</v>
      </c>
      <c r="F31" s="8">
        <v>7</v>
      </c>
      <c r="G31" s="9">
        <v>0.26</v>
      </c>
      <c r="H31" s="10">
        <f t="shared" si="0"/>
        <v>3.7142857142857144E-2</v>
      </c>
      <c r="I31" s="2" t="s">
        <v>31</v>
      </c>
    </row>
    <row r="32" spans="1:9">
      <c r="A32" s="2" t="s">
        <v>47</v>
      </c>
      <c r="B32" s="2" t="s">
        <v>55</v>
      </c>
      <c r="C32" s="7">
        <v>46192</v>
      </c>
      <c r="D32" s="2" t="s">
        <v>50</v>
      </c>
      <c r="E32" s="2" t="s">
        <v>53</v>
      </c>
      <c r="F32" s="8">
        <v>6</v>
      </c>
      <c r="G32" s="9">
        <v>0.74</v>
      </c>
      <c r="H32" s="10">
        <f t="shared" si="0"/>
        <v>0.12333333333333334</v>
      </c>
      <c r="I32" s="2" t="s">
        <v>31</v>
      </c>
    </row>
    <row r="33" spans="1:9">
      <c r="A33" s="2" t="s">
        <v>47</v>
      </c>
      <c r="B33" s="2" t="s">
        <v>55</v>
      </c>
      <c r="C33" s="7">
        <v>46192</v>
      </c>
      <c r="D33" s="2" t="s">
        <v>53</v>
      </c>
      <c r="E33" s="2" t="s">
        <v>50</v>
      </c>
      <c r="F33" s="8">
        <v>12</v>
      </c>
      <c r="G33" s="9">
        <v>0.8</v>
      </c>
      <c r="H33" s="10">
        <f t="shared" si="0"/>
        <v>6.6666666666666666E-2</v>
      </c>
      <c r="I33" s="2" t="s">
        <v>27</v>
      </c>
    </row>
    <row r="34" spans="1:9">
      <c r="A34" s="2" t="s">
        <v>47</v>
      </c>
      <c r="B34" s="2" t="s">
        <v>56</v>
      </c>
      <c r="C34" s="7">
        <v>46197</v>
      </c>
      <c r="D34" s="2" t="s">
        <v>50</v>
      </c>
      <c r="E34" s="2" t="s">
        <v>52</v>
      </c>
      <c r="F34" s="8">
        <v>14</v>
      </c>
      <c r="G34" s="9">
        <v>0.69</v>
      </c>
      <c r="H34" s="10">
        <f t="shared" si="0"/>
        <v>4.928571428571428E-2</v>
      </c>
      <c r="I34" s="2" t="s">
        <v>31</v>
      </c>
    </row>
    <row r="35" spans="1:9">
      <c r="A35" s="2" t="s">
        <v>47</v>
      </c>
      <c r="B35" s="2" t="s">
        <v>56</v>
      </c>
      <c r="C35" s="7">
        <v>46197</v>
      </c>
      <c r="D35" s="2" t="s">
        <v>52</v>
      </c>
      <c r="E35" s="2" t="s">
        <v>50</v>
      </c>
      <c r="F35" s="8">
        <v>21</v>
      </c>
      <c r="G35" s="9">
        <v>3.78</v>
      </c>
      <c r="H35" s="10">
        <f t="shared" si="0"/>
        <v>0.18</v>
      </c>
      <c r="I35" s="2" t="s">
        <v>27</v>
      </c>
    </row>
    <row r="36" spans="1:9">
      <c r="A36" s="2" t="s">
        <v>47</v>
      </c>
      <c r="B36" s="2" t="s">
        <v>57</v>
      </c>
      <c r="C36" s="7">
        <v>46197</v>
      </c>
      <c r="D36" s="2" t="s">
        <v>53</v>
      </c>
      <c r="E36" s="2" t="s">
        <v>49</v>
      </c>
      <c r="F36" s="8">
        <v>22</v>
      </c>
      <c r="G36" s="9">
        <v>2.12</v>
      </c>
      <c r="H36" s="10">
        <f t="shared" si="0"/>
        <v>9.6363636363636374E-2</v>
      </c>
      <c r="I36" s="2" t="s">
        <v>27</v>
      </c>
    </row>
    <row r="37" spans="1:9">
      <c r="A37" s="2" t="s">
        <v>47</v>
      </c>
      <c r="B37" s="2" t="s">
        <v>57</v>
      </c>
      <c r="C37" s="7">
        <v>46197</v>
      </c>
      <c r="D37" s="2" t="s">
        <v>49</v>
      </c>
      <c r="E37" s="2" t="s">
        <v>53</v>
      </c>
      <c r="F37" s="8">
        <v>9</v>
      </c>
      <c r="G37" s="9">
        <v>0.65</v>
      </c>
      <c r="H37" s="10">
        <f t="shared" si="0"/>
        <v>7.2222222222222229E-2</v>
      </c>
      <c r="I37" s="2" t="s">
        <v>31</v>
      </c>
    </row>
  </sheetData>
  <conditionalFormatting sqref="I2:I37">
    <cfRule type="expression" dxfId="1" priority="1">
      <formula>I2="Advanced"</formula>
    </cfRule>
    <cfRule type="expression" dxfId="0" priority="2">
      <formula>I2="Eliminated"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5"/>
  <sheetViews>
    <sheetView workbookViewId="0">
      <selection activeCell="I10" sqref="I10:J12"/>
    </sheetView>
  </sheetViews>
  <sheetFormatPr defaultRowHeight="14.25"/>
  <cols>
    <col min="1" max="1" width="8" customWidth="1"/>
    <col min="2" max="2" width="26" customWidth="1"/>
    <col min="3" max="3" width="14" customWidth="1"/>
    <col min="4" max="4" width="11" customWidth="1"/>
    <col min="5" max="5" width="16" customWidth="1"/>
    <col min="6" max="6" width="12" customWidth="1"/>
    <col min="7" max="7" width="14" customWidth="1"/>
    <col min="9" max="9" width="34" customWidth="1"/>
    <col min="10" max="10" width="18" customWidth="1"/>
  </cols>
  <sheetData>
    <row r="1" spans="1:10" ht="19.5">
      <c r="A1" s="11" t="s">
        <v>58</v>
      </c>
      <c r="B1" s="11"/>
      <c r="C1" s="11"/>
      <c r="D1" s="11"/>
      <c r="E1" s="11"/>
      <c r="F1" s="11"/>
      <c r="G1" s="11"/>
    </row>
    <row r="3" spans="1:10" ht="15">
      <c r="A3" s="3" t="s">
        <v>14</v>
      </c>
      <c r="B3" s="3" t="s">
        <v>17</v>
      </c>
      <c r="C3" s="3" t="s">
        <v>22</v>
      </c>
      <c r="D3" s="3" t="s">
        <v>59</v>
      </c>
      <c r="E3" s="3" t="s">
        <v>60</v>
      </c>
      <c r="F3" s="3" t="s">
        <v>61</v>
      </c>
      <c r="G3" s="3" t="s">
        <v>21</v>
      </c>
      <c r="I3" s="3" t="s">
        <v>62</v>
      </c>
      <c r="J3" s="3" t="s">
        <v>63</v>
      </c>
    </row>
    <row r="4" spans="1:10">
      <c r="A4" t="s">
        <v>23</v>
      </c>
      <c r="B4" t="s">
        <v>25</v>
      </c>
      <c r="C4" t="s">
        <v>27</v>
      </c>
      <c r="D4" s="4">
        <f>COUNTIF('Team-Match Data'!$D$2:$D$37,B4)</f>
        <v>3</v>
      </c>
      <c r="E4" s="4">
        <f>SUMIF('Team-Match Data'!$D$2:$D$37,B4,'Team-Match Data'!$F$2:$F$37)</f>
        <v>35</v>
      </c>
      <c r="F4" s="5">
        <f>SUMIF('Team-Match Data'!$D$2:$D$37,B4,'Team-Match Data'!$G$2:$G$37)</f>
        <v>4.2200000000000006</v>
      </c>
      <c r="G4" s="6">
        <f t="shared" ref="G4:G15" si="0">IFERROR(F4/E4,"")</f>
        <v>0.12057142857142859</v>
      </c>
      <c r="I4" t="s">
        <v>64</v>
      </c>
      <c r="J4">
        <f>COUNTIF(C4:C15,"Advanced")</f>
        <v>7</v>
      </c>
    </row>
    <row r="5" spans="1:10">
      <c r="A5" t="s">
        <v>23</v>
      </c>
      <c r="B5" t="s">
        <v>26</v>
      </c>
      <c r="C5" t="s">
        <v>27</v>
      </c>
      <c r="D5" s="4">
        <f>COUNTIF('Team-Match Data'!$D$2:$D$37,B5)</f>
        <v>3</v>
      </c>
      <c r="E5" s="4">
        <f>SUMIF('Team-Match Data'!$D$2:$D$37,B5,'Team-Match Data'!$F$2:$F$37)</f>
        <v>33</v>
      </c>
      <c r="F5" s="5">
        <f>SUMIF('Team-Match Data'!$D$2:$D$37,B5,'Team-Match Data'!$G$2:$G$37)</f>
        <v>2.33</v>
      </c>
      <c r="G5" s="6">
        <f t="shared" si="0"/>
        <v>7.0606060606060603E-2</v>
      </c>
      <c r="I5" t="s">
        <v>65</v>
      </c>
      <c r="J5">
        <f>COUNTIF(C4:C15,"Eliminated")</f>
        <v>5</v>
      </c>
    </row>
    <row r="6" spans="1:10">
      <c r="A6" t="s">
        <v>23</v>
      </c>
      <c r="B6" t="s">
        <v>29</v>
      </c>
      <c r="C6" t="s">
        <v>31</v>
      </c>
      <c r="D6" s="4">
        <f>COUNTIF('Team-Match Data'!$D$2:$D$37,B6)</f>
        <v>3</v>
      </c>
      <c r="E6" s="4">
        <f>SUMIF('Team-Match Data'!$D$2:$D$37,B6,'Team-Match Data'!$F$2:$F$37)</f>
        <v>32</v>
      </c>
      <c r="F6" s="5">
        <f>SUMIF('Team-Match Data'!$D$2:$D$37,B6,'Team-Match Data'!$G$2:$G$37)</f>
        <v>3.38</v>
      </c>
      <c r="G6" s="6">
        <f t="shared" si="0"/>
        <v>0.105625</v>
      </c>
      <c r="I6" t="s">
        <v>66</v>
      </c>
      <c r="J6" s="6">
        <f>SUMIF(C4:C15,"Advanced",G4:G15)/COUNTIF(C4:C15,"Advanced")</f>
        <v>0.10987331766296657</v>
      </c>
    </row>
    <row r="7" spans="1:10">
      <c r="A7" t="s">
        <v>23</v>
      </c>
      <c r="B7" t="s">
        <v>30</v>
      </c>
      <c r="C7" t="s">
        <v>31</v>
      </c>
      <c r="D7" s="4">
        <f>COUNTIF('Team-Match Data'!$D$2:$D$37,B7)</f>
        <v>3</v>
      </c>
      <c r="E7" s="4">
        <f>SUMIF('Team-Match Data'!$D$2:$D$37,B7,'Team-Match Data'!$F$2:$F$37)</f>
        <v>34</v>
      </c>
      <c r="F7" s="5">
        <f>SUMIF('Team-Match Data'!$D$2:$D$37,B7,'Team-Match Data'!$G$2:$G$37)</f>
        <v>2.44</v>
      </c>
      <c r="G7" s="6">
        <f t="shared" si="0"/>
        <v>7.1764705882352939E-2</v>
      </c>
      <c r="I7" t="s">
        <v>67</v>
      </c>
      <c r="J7" s="6">
        <f>SUMIF(C4:C15,"Eliminated",G4:G15)/COUNTIF(C4:C15,"Eliminated")</f>
        <v>8.4238263102793948E-2</v>
      </c>
    </row>
    <row r="8" spans="1:10">
      <c r="A8" t="s">
        <v>36</v>
      </c>
      <c r="B8" t="s">
        <v>42</v>
      </c>
      <c r="C8" t="s">
        <v>27</v>
      </c>
      <c r="D8" s="4">
        <f>COUNTIF('Team-Match Data'!$D$2:$D$37,B8)</f>
        <v>3</v>
      </c>
      <c r="E8" s="4">
        <f>SUMIF('Team-Match Data'!$D$2:$D$37,B8,'Team-Match Data'!$F$2:$F$37)</f>
        <v>45</v>
      </c>
      <c r="F8" s="5">
        <f>SUMIF('Team-Match Data'!$D$2:$D$37,B8,'Team-Match Data'!$G$2:$G$37)</f>
        <v>6.67</v>
      </c>
      <c r="G8" s="6">
        <f t="shared" si="0"/>
        <v>0.14822222222222223</v>
      </c>
      <c r="I8" t="s">
        <v>68</v>
      </c>
      <c r="J8" s="6">
        <f>J6-J7</f>
        <v>2.5635054560172621E-2</v>
      </c>
    </row>
    <row r="9" spans="1:10">
      <c r="A9" t="s">
        <v>36</v>
      </c>
      <c r="B9" t="s">
        <v>38</v>
      </c>
      <c r="C9" t="s">
        <v>27</v>
      </c>
      <c r="D9" s="4">
        <f>COUNTIF('Team-Match Data'!$D$2:$D$37,B9)</f>
        <v>3</v>
      </c>
      <c r="E9" s="4">
        <f>SUMIF('Team-Match Data'!$D$2:$D$37,B9,'Team-Match Data'!$F$2:$F$37)</f>
        <v>59</v>
      </c>
      <c r="F9" s="5">
        <f>SUMIF('Team-Match Data'!$D$2:$D$37,B9,'Team-Match Data'!$G$2:$G$37)</f>
        <v>7</v>
      </c>
      <c r="G9" s="6">
        <f t="shared" si="0"/>
        <v>0.11864406779661017</v>
      </c>
    </row>
    <row r="10" spans="1:10">
      <c r="A10" t="s">
        <v>36</v>
      </c>
      <c r="B10" t="s">
        <v>39</v>
      </c>
      <c r="C10" t="s">
        <v>27</v>
      </c>
      <c r="D10" s="4">
        <f>COUNTIF('Team-Match Data'!$D$2:$D$37,B10)</f>
        <v>3</v>
      </c>
      <c r="E10" s="4">
        <f>SUMIF('Team-Match Data'!$D$2:$D$37,B10,'Team-Match Data'!$F$2:$F$37)</f>
        <v>27</v>
      </c>
      <c r="F10" s="5">
        <f>SUMIF('Team-Match Data'!$D$2:$D$37,B10,'Team-Match Data'!$G$2:$G$37)</f>
        <v>1.83</v>
      </c>
      <c r="G10" s="6">
        <f t="shared" si="0"/>
        <v>6.7777777777777784E-2</v>
      </c>
      <c r="I10" s="12" t="s">
        <v>70</v>
      </c>
      <c r="J10" s="12"/>
    </row>
    <row r="11" spans="1:10">
      <c r="A11" t="s">
        <v>36</v>
      </c>
      <c r="B11" t="s">
        <v>41</v>
      </c>
      <c r="C11" t="s">
        <v>31</v>
      </c>
      <c r="D11" s="4">
        <f>COUNTIF('Team-Match Data'!$D$2:$D$37,B11)</f>
        <v>3</v>
      </c>
      <c r="E11" s="4">
        <f>SUMIF('Team-Match Data'!$D$2:$D$37,B11,'Team-Match Data'!$F$2:$F$37)</f>
        <v>17</v>
      </c>
      <c r="F11" s="5">
        <f>SUMIF('Team-Match Data'!$D$2:$D$37,B11,'Team-Match Data'!$G$2:$G$37)</f>
        <v>1.89</v>
      </c>
      <c r="G11" s="6">
        <f t="shared" si="0"/>
        <v>0.11117647058823529</v>
      </c>
      <c r="I11" s="12"/>
      <c r="J11" s="12"/>
    </row>
    <row r="12" spans="1:10">
      <c r="A12" t="s">
        <v>47</v>
      </c>
      <c r="B12" t="s">
        <v>52</v>
      </c>
      <c r="C12" t="s">
        <v>27</v>
      </c>
      <c r="D12" s="4">
        <f>COUNTIF('Team-Match Data'!$D$2:$D$37,B12)</f>
        <v>3</v>
      </c>
      <c r="E12" s="4">
        <f>SUMIF('Team-Match Data'!$D$2:$D$37,B12,'Team-Match Data'!$F$2:$F$37)</f>
        <v>40</v>
      </c>
      <c r="F12" s="5">
        <f>SUMIF('Team-Match Data'!$D$2:$D$37,B12,'Team-Match Data'!$G$2:$G$37)</f>
        <v>6.1899999999999995</v>
      </c>
      <c r="G12" s="6">
        <f t="shared" si="0"/>
        <v>0.15475</v>
      </c>
      <c r="I12" s="12"/>
      <c r="J12" s="12"/>
    </row>
    <row r="13" spans="1:10">
      <c r="A13" t="s">
        <v>47</v>
      </c>
      <c r="B13" t="s">
        <v>53</v>
      </c>
      <c r="C13" t="s">
        <v>27</v>
      </c>
      <c r="D13" s="4">
        <f>COUNTIF('Team-Match Data'!$D$2:$D$37,B13)</f>
        <v>3</v>
      </c>
      <c r="E13" s="4">
        <f>SUMIF('Team-Match Data'!$D$2:$D$37,B13,'Team-Match Data'!$F$2:$F$37)</f>
        <v>48</v>
      </c>
      <c r="F13" s="5">
        <f>SUMIF('Team-Match Data'!$D$2:$D$37,B13,'Team-Match Data'!$G$2:$G$37)</f>
        <v>4.25</v>
      </c>
      <c r="G13" s="6">
        <f t="shared" si="0"/>
        <v>8.8541666666666671E-2</v>
      </c>
    </row>
    <row r="14" spans="1:10">
      <c r="A14" t="s">
        <v>47</v>
      </c>
      <c r="B14" t="s">
        <v>50</v>
      </c>
      <c r="C14" t="s">
        <v>31</v>
      </c>
      <c r="D14" s="4">
        <f>COUNTIF('Team-Match Data'!$D$2:$D$37,B14)</f>
        <v>3</v>
      </c>
      <c r="E14" s="4">
        <f>SUMIF('Team-Match Data'!$D$2:$D$37,B14,'Team-Match Data'!$F$2:$F$37)</f>
        <v>29</v>
      </c>
      <c r="F14" s="5">
        <f>SUMIF('Team-Match Data'!$D$2:$D$37,B14,'Team-Match Data'!$G$2:$G$37)</f>
        <v>2.34</v>
      </c>
      <c r="G14" s="6">
        <f t="shared" si="0"/>
        <v>8.0689655172413791E-2</v>
      </c>
    </row>
    <row r="15" spans="1:10">
      <c r="A15" t="s">
        <v>47</v>
      </c>
      <c r="B15" t="s">
        <v>49</v>
      </c>
      <c r="C15" t="s">
        <v>31</v>
      </c>
      <c r="D15" s="4">
        <f>COUNTIF('Team-Match Data'!$D$2:$D$37,B15)</f>
        <v>3</v>
      </c>
      <c r="E15" s="4">
        <f>SUMIF('Team-Match Data'!$D$2:$D$37,B15,'Team-Match Data'!$F$2:$F$37)</f>
        <v>31</v>
      </c>
      <c r="F15" s="5">
        <f>SUMIF('Team-Match Data'!$D$2:$D$37,B15,'Team-Match Data'!$G$2:$G$37)</f>
        <v>1.6099999999999999</v>
      </c>
      <c r="G15" s="6">
        <f t="shared" si="0"/>
        <v>5.193548387096774E-2</v>
      </c>
    </row>
  </sheetData>
  <mergeCells count="2">
    <mergeCell ref="A1:G1"/>
    <mergeCell ref="I10:J12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README</vt:lpstr>
      <vt:lpstr>Team-Match Data</vt:lpstr>
      <vt:lpstr>Team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mani kc</dc:creator>
  <cp:lastModifiedBy>Manish Chaudhary</cp:lastModifiedBy>
  <dcterms:created xsi:type="dcterms:W3CDTF">2026-08-14T12:42:30Z</dcterms:created>
  <dcterms:modified xsi:type="dcterms:W3CDTF">2026-08-14T12:42:30Z</dcterms:modified>
</cp:coreProperties>
</file>