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/Users/enoshbasnet/Desktop/CDU/SEM-2/Data Science/assignment-2/"/>
    </mc:Choice>
  </mc:AlternateContent>
  <xr:revisionPtr revIDLastSave="0" documentId="8_{D043CD11-787F-3344-A691-19CF1F884602}" xr6:coauthVersionLast="47" xr6:coauthVersionMax="47" xr10:uidLastSave="{00000000-0000-0000-0000-000000000000}"/>
  <bookViews>
    <workbookView xWindow="0" yWindow="660" windowWidth="29400" windowHeight="18460" firstSheet="1" activeTab="1" xr2:uid="{FD46BAE8-E1D7-7549-A8D0-B8B9B5800D7E}"/>
  </bookViews>
  <sheets>
    <sheet name="groups_JKL_raw_data" sheetId="1" r:id="rId1"/>
    <sheet name="groups_JKL_team_summary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5" l="1"/>
  <c r="J8" i="5"/>
  <c r="J9" i="5"/>
  <c r="J10" i="5"/>
  <c r="J11" i="5"/>
</calcChain>
</file>

<file path=xl/sharedStrings.xml><?xml version="1.0" encoding="utf-8"?>
<sst xmlns="http://schemas.openxmlformats.org/spreadsheetml/2006/main" count="239" uniqueCount="38">
  <si>
    <t>Group</t>
  </si>
  <si>
    <t>Match_ID</t>
  </si>
  <si>
    <t>Team</t>
  </si>
  <si>
    <t>Opponent</t>
  </si>
  <si>
    <t>Shots</t>
  </si>
  <si>
    <t>xG</t>
  </si>
  <si>
    <t>Data_Source</t>
  </si>
  <si>
    <t>Advanced</t>
  </si>
  <si>
    <t>J</t>
  </si>
  <si>
    <t>Argentina</t>
  </si>
  <si>
    <t>Algeria</t>
  </si>
  <si>
    <t>thestatsdontlie.com</t>
  </si>
  <si>
    <t>Yes</t>
  </si>
  <si>
    <t>Austria</t>
  </si>
  <si>
    <t>Jordan</t>
  </si>
  <si>
    <t>No</t>
  </si>
  <si>
    <t>K</t>
  </si>
  <si>
    <t>Portugal</t>
  </si>
  <si>
    <t>Congo DR</t>
  </si>
  <si>
    <t>L</t>
  </si>
  <si>
    <t>England</t>
  </si>
  <si>
    <t>Croatia</t>
  </si>
  <si>
    <t>Ghana</t>
  </si>
  <si>
    <t>Panama</t>
  </si>
  <si>
    <t>Uzbekistan</t>
  </si>
  <si>
    <t>Colombia</t>
  </si>
  <si>
    <t>Team-Level Group-Stage Summary (Groups J-L)</t>
  </si>
  <si>
    <t>Total_Shots</t>
  </si>
  <si>
    <t>Total_xG</t>
  </si>
  <si>
    <t>xG_per_shot</t>
  </si>
  <si>
    <t>Groups A-C preliminary comparison</t>
  </si>
  <si>
    <t>Value</t>
  </si>
  <si>
    <t>Advanced teams</t>
  </si>
  <si>
    <t>Eliminated teams</t>
  </si>
  <si>
    <t>Mean xG/shot — Advanced</t>
  </si>
  <si>
    <t>Mean xG/shot — Eliminated</t>
  </si>
  <si>
    <t>Difference (Advanced - Eliminated)</t>
  </si>
  <si>
    <t>Formula :  xG per shot = xG ÷ Attempts at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</si>
</sst>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22"/>
      <color theme="1"/>
      <name val="Aptos Narrow"/>
      <scheme val="minor"/>
    </font>
    <font>
      <sz val="18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22"/>
      <color theme="9"/>
      <name val="Aptos Narrow (Body)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0" xfId="0" applyFont="1" applyFill="1"/>
    <xf numFmtId="0" fontId="19" fillId="0" borderId="0" xfId="0" applyFont="1"/>
    <xf numFmtId="2" fontId="19" fillId="0" borderId="0" xfId="0" applyNumberFormat="1" applyFont="1"/>
    <xf numFmtId="0" fontId="18" fillId="0" borderId="0" xfId="0" applyFont="1"/>
    <xf numFmtId="2" fontId="20" fillId="0" borderId="0" xfId="0" applyNumberFormat="1" applyFont="1"/>
    <xf numFmtId="0" fontId="20" fillId="0" borderId="0" xfId="0" applyFont="1"/>
    <xf numFmtId="0" fontId="21" fillId="0" borderId="0" xfId="0" applyFont="1"/>
    <xf numFmtId="0" fontId="22" fillId="33" borderId="0" xfId="0" applyFont="1" applyFill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strike val="0"/>
        <outline val="0"/>
        <shadow val="0"/>
        <u val="none"/>
        <vertAlign val="baseline"/>
        <sz val="18"/>
        <color theme="1"/>
        <name val="Aptos Narrow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46420-A175-6C4C-9D51-66B419766A03}" name="Table2" displayName="Table2" ref="I6:J11" totalsRowShown="0" headerRowDxfId="3" dataDxfId="2">
  <autoFilter ref="I6:J11" xr:uid="{A73BE91E-6FF6-F541-AE0B-C6CA6EE03BC4}"/>
  <tableColumns count="2">
    <tableColumn id="1" xr3:uid="{296769DE-2AC2-8C40-946B-886D3023D18D}" name="Groups A-C preliminary comparison" dataDxfId="1"/>
    <tableColumn id="2" xr3:uid="{9CAA0D6D-008B-1647-B8AB-D4E092E3301A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8368-64D8-BC42-9AEB-61EAED0CCDC0}">
  <dimension ref="A1:H37"/>
  <sheetViews>
    <sheetView zoomScale="86" workbookViewId="0">
      <selection activeCell="I18" sqref="I18"/>
    </sheetView>
  </sheetViews>
  <sheetFormatPr defaultColWidth="11" defaultRowHeight="15.95"/>
  <cols>
    <col min="7" max="7" width="18.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</v>
      </c>
      <c r="C2" t="s">
        <v>9</v>
      </c>
      <c r="D2" t="s">
        <v>10</v>
      </c>
      <c r="E2">
        <v>10</v>
      </c>
      <c r="F2">
        <v>1.26</v>
      </c>
      <c r="G2" t="s">
        <v>11</v>
      </c>
      <c r="H2" t="s">
        <v>12</v>
      </c>
    </row>
    <row r="3" spans="1:8">
      <c r="A3" t="s">
        <v>8</v>
      </c>
      <c r="B3">
        <v>19</v>
      </c>
      <c r="C3" t="s">
        <v>10</v>
      </c>
      <c r="D3" t="s">
        <v>9</v>
      </c>
      <c r="E3">
        <v>7</v>
      </c>
      <c r="F3">
        <v>0.32</v>
      </c>
      <c r="G3" t="s">
        <v>11</v>
      </c>
      <c r="H3" t="s">
        <v>12</v>
      </c>
    </row>
    <row r="4" spans="1:8">
      <c r="A4" t="s">
        <v>8</v>
      </c>
      <c r="B4">
        <v>20</v>
      </c>
      <c r="C4" t="s">
        <v>13</v>
      </c>
      <c r="D4" t="s">
        <v>14</v>
      </c>
      <c r="E4">
        <v>10</v>
      </c>
      <c r="F4">
        <v>1.66</v>
      </c>
      <c r="G4" t="s">
        <v>11</v>
      </c>
      <c r="H4" t="s">
        <v>12</v>
      </c>
    </row>
    <row r="5" spans="1:8">
      <c r="A5" t="s">
        <v>8</v>
      </c>
      <c r="B5">
        <v>20</v>
      </c>
      <c r="C5" t="s">
        <v>14</v>
      </c>
      <c r="D5" t="s">
        <v>13</v>
      </c>
      <c r="E5">
        <v>11</v>
      </c>
      <c r="F5">
        <v>0.53</v>
      </c>
      <c r="G5" t="s">
        <v>11</v>
      </c>
      <c r="H5" t="s">
        <v>15</v>
      </c>
    </row>
    <row r="6" spans="1:8">
      <c r="A6" t="s">
        <v>16</v>
      </c>
      <c r="B6">
        <v>21</v>
      </c>
      <c r="C6" t="s">
        <v>17</v>
      </c>
      <c r="D6" t="s">
        <v>18</v>
      </c>
      <c r="E6">
        <v>7</v>
      </c>
      <c r="F6">
        <v>0.65</v>
      </c>
      <c r="G6" t="s">
        <v>11</v>
      </c>
      <c r="H6" t="s">
        <v>12</v>
      </c>
    </row>
    <row r="7" spans="1:8">
      <c r="A7" t="s">
        <v>16</v>
      </c>
      <c r="B7">
        <v>21</v>
      </c>
      <c r="C7" t="s">
        <v>18</v>
      </c>
      <c r="D7" t="s">
        <v>17</v>
      </c>
      <c r="E7">
        <v>8</v>
      </c>
      <c r="F7">
        <v>0.87</v>
      </c>
      <c r="G7" t="s">
        <v>11</v>
      </c>
      <c r="H7" t="s">
        <v>12</v>
      </c>
    </row>
    <row r="8" spans="1:8">
      <c r="A8" t="s">
        <v>19</v>
      </c>
      <c r="B8">
        <v>22</v>
      </c>
      <c r="C8" t="s">
        <v>20</v>
      </c>
      <c r="D8" t="s">
        <v>21</v>
      </c>
      <c r="E8">
        <v>22</v>
      </c>
      <c r="F8">
        <v>3.2</v>
      </c>
      <c r="G8" t="s">
        <v>11</v>
      </c>
      <c r="H8" t="s">
        <v>12</v>
      </c>
    </row>
    <row r="9" spans="1:8">
      <c r="A9" t="s">
        <v>19</v>
      </c>
      <c r="B9">
        <v>22</v>
      </c>
      <c r="C9" t="s">
        <v>21</v>
      </c>
      <c r="D9" t="s">
        <v>20</v>
      </c>
      <c r="E9">
        <v>10</v>
      </c>
      <c r="F9">
        <v>0.7</v>
      </c>
      <c r="G9" t="s">
        <v>11</v>
      </c>
      <c r="H9" t="s">
        <v>12</v>
      </c>
    </row>
    <row r="10" spans="1:8">
      <c r="A10" t="s">
        <v>19</v>
      </c>
      <c r="B10">
        <v>23</v>
      </c>
      <c r="C10" t="s">
        <v>22</v>
      </c>
      <c r="D10" t="s">
        <v>23</v>
      </c>
      <c r="E10">
        <v>7</v>
      </c>
      <c r="F10">
        <v>1.31</v>
      </c>
      <c r="G10" t="s">
        <v>11</v>
      </c>
      <c r="H10" t="s">
        <v>12</v>
      </c>
    </row>
    <row r="11" spans="1:8">
      <c r="A11" t="s">
        <v>19</v>
      </c>
      <c r="B11">
        <v>23</v>
      </c>
      <c r="C11" t="s">
        <v>23</v>
      </c>
      <c r="D11" t="s">
        <v>22</v>
      </c>
      <c r="E11">
        <v>11</v>
      </c>
      <c r="F11">
        <v>0.73</v>
      </c>
      <c r="G11" t="s">
        <v>11</v>
      </c>
      <c r="H11" t="s">
        <v>15</v>
      </c>
    </row>
    <row r="12" spans="1:8">
      <c r="A12" t="s">
        <v>16</v>
      </c>
      <c r="B12">
        <v>24</v>
      </c>
      <c r="C12" t="s">
        <v>24</v>
      </c>
      <c r="D12" t="s">
        <v>25</v>
      </c>
      <c r="E12">
        <v>8</v>
      </c>
      <c r="F12">
        <v>1.1599999999999999</v>
      </c>
      <c r="G12" t="s">
        <v>11</v>
      </c>
      <c r="H12" t="s">
        <v>15</v>
      </c>
    </row>
    <row r="13" spans="1:8">
      <c r="A13" t="s">
        <v>16</v>
      </c>
      <c r="B13">
        <v>24</v>
      </c>
      <c r="C13" t="s">
        <v>25</v>
      </c>
      <c r="D13" t="s">
        <v>24</v>
      </c>
      <c r="E13">
        <v>15</v>
      </c>
      <c r="F13">
        <v>1.61</v>
      </c>
      <c r="G13" t="s">
        <v>11</v>
      </c>
      <c r="H13" t="s">
        <v>12</v>
      </c>
    </row>
    <row r="14" spans="1:8">
      <c r="A14" t="s">
        <v>8</v>
      </c>
      <c r="B14">
        <v>43</v>
      </c>
      <c r="C14" t="s">
        <v>9</v>
      </c>
      <c r="D14" t="s">
        <v>13</v>
      </c>
      <c r="E14">
        <v>12</v>
      </c>
      <c r="F14">
        <v>2.36</v>
      </c>
      <c r="G14" t="s">
        <v>11</v>
      </c>
      <c r="H14" t="s">
        <v>12</v>
      </c>
    </row>
    <row r="15" spans="1:8">
      <c r="A15" t="s">
        <v>8</v>
      </c>
      <c r="B15">
        <v>43</v>
      </c>
      <c r="C15" t="s">
        <v>13</v>
      </c>
      <c r="D15" t="s">
        <v>9</v>
      </c>
      <c r="E15">
        <v>6</v>
      </c>
      <c r="F15">
        <v>0.53</v>
      </c>
      <c r="G15" t="s">
        <v>11</v>
      </c>
      <c r="H15" t="s">
        <v>12</v>
      </c>
    </row>
    <row r="16" spans="1:8">
      <c r="A16" t="s">
        <v>8</v>
      </c>
      <c r="B16">
        <v>44</v>
      </c>
      <c r="C16" t="s">
        <v>14</v>
      </c>
      <c r="D16" t="s">
        <v>10</v>
      </c>
      <c r="E16">
        <v>6</v>
      </c>
      <c r="F16">
        <v>0.63</v>
      </c>
      <c r="G16" t="s">
        <v>11</v>
      </c>
      <c r="H16" t="s">
        <v>15</v>
      </c>
    </row>
    <row r="17" spans="1:8">
      <c r="A17" t="s">
        <v>8</v>
      </c>
      <c r="B17">
        <v>44</v>
      </c>
      <c r="C17" t="s">
        <v>10</v>
      </c>
      <c r="D17" t="s">
        <v>14</v>
      </c>
      <c r="E17">
        <v>18</v>
      </c>
      <c r="F17">
        <v>1.89</v>
      </c>
      <c r="G17" t="s">
        <v>11</v>
      </c>
      <c r="H17" t="s">
        <v>12</v>
      </c>
    </row>
    <row r="18" spans="1:8">
      <c r="A18" t="s">
        <v>16</v>
      </c>
      <c r="B18">
        <v>45</v>
      </c>
      <c r="C18" t="s">
        <v>17</v>
      </c>
      <c r="D18" t="s">
        <v>24</v>
      </c>
      <c r="E18">
        <v>18</v>
      </c>
      <c r="F18">
        <v>2.61</v>
      </c>
      <c r="G18" t="s">
        <v>11</v>
      </c>
      <c r="H18" t="s">
        <v>12</v>
      </c>
    </row>
    <row r="19" spans="1:8">
      <c r="A19" t="s">
        <v>16</v>
      </c>
      <c r="B19">
        <v>45</v>
      </c>
      <c r="C19" t="s">
        <v>24</v>
      </c>
      <c r="D19" t="s">
        <v>17</v>
      </c>
      <c r="E19">
        <v>5</v>
      </c>
      <c r="F19">
        <v>0.24</v>
      </c>
      <c r="G19" t="s">
        <v>11</v>
      </c>
      <c r="H19" t="s">
        <v>15</v>
      </c>
    </row>
    <row r="20" spans="1:8">
      <c r="A20" t="s">
        <v>16</v>
      </c>
      <c r="B20">
        <v>46</v>
      </c>
      <c r="C20" t="s">
        <v>25</v>
      </c>
      <c r="D20" t="s">
        <v>18</v>
      </c>
      <c r="E20">
        <v>14</v>
      </c>
      <c r="F20">
        <v>0.98</v>
      </c>
      <c r="G20" t="s">
        <v>11</v>
      </c>
      <c r="H20" t="s">
        <v>12</v>
      </c>
    </row>
    <row r="21" spans="1:8">
      <c r="A21" t="s">
        <v>16</v>
      </c>
      <c r="B21">
        <v>46</v>
      </c>
      <c r="C21" t="s">
        <v>18</v>
      </c>
      <c r="D21" t="s">
        <v>25</v>
      </c>
      <c r="E21">
        <v>8</v>
      </c>
      <c r="F21">
        <v>0.37</v>
      </c>
      <c r="G21" t="s">
        <v>11</v>
      </c>
      <c r="H21" t="s">
        <v>12</v>
      </c>
    </row>
    <row r="22" spans="1:8">
      <c r="A22" t="s">
        <v>19</v>
      </c>
      <c r="B22">
        <v>47</v>
      </c>
      <c r="C22" t="s">
        <v>20</v>
      </c>
      <c r="D22" t="s">
        <v>22</v>
      </c>
      <c r="E22">
        <v>11</v>
      </c>
      <c r="F22">
        <v>1.36</v>
      </c>
      <c r="G22" t="s">
        <v>11</v>
      </c>
      <c r="H22" t="s">
        <v>12</v>
      </c>
    </row>
    <row r="23" spans="1:8">
      <c r="A23" t="s">
        <v>19</v>
      </c>
      <c r="B23">
        <v>47</v>
      </c>
      <c r="C23" t="s">
        <v>22</v>
      </c>
      <c r="D23" t="s">
        <v>20</v>
      </c>
      <c r="E23">
        <v>9</v>
      </c>
      <c r="F23">
        <v>0.17</v>
      </c>
      <c r="G23" t="s">
        <v>11</v>
      </c>
      <c r="H23" t="s">
        <v>12</v>
      </c>
    </row>
    <row r="24" spans="1:8">
      <c r="A24" t="s">
        <v>19</v>
      </c>
      <c r="B24">
        <v>48</v>
      </c>
      <c r="C24" t="s">
        <v>23</v>
      </c>
      <c r="D24" t="s">
        <v>21</v>
      </c>
      <c r="E24">
        <v>7</v>
      </c>
      <c r="F24">
        <v>0.55000000000000004</v>
      </c>
      <c r="G24" t="s">
        <v>11</v>
      </c>
      <c r="H24" t="s">
        <v>15</v>
      </c>
    </row>
    <row r="25" spans="1:8">
      <c r="A25" t="s">
        <v>19</v>
      </c>
      <c r="B25">
        <v>48</v>
      </c>
      <c r="C25" t="s">
        <v>21</v>
      </c>
      <c r="D25" t="s">
        <v>23</v>
      </c>
      <c r="E25">
        <v>15</v>
      </c>
      <c r="F25">
        <v>1.65</v>
      </c>
      <c r="G25" t="s">
        <v>11</v>
      </c>
      <c r="H25" t="s">
        <v>12</v>
      </c>
    </row>
    <row r="26" spans="1:8">
      <c r="A26" t="s">
        <v>8</v>
      </c>
      <c r="B26">
        <v>67</v>
      </c>
      <c r="C26" t="s">
        <v>14</v>
      </c>
      <c r="D26" t="s">
        <v>9</v>
      </c>
      <c r="E26">
        <v>5</v>
      </c>
      <c r="F26">
        <v>0.76</v>
      </c>
      <c r="G26" t="s">
        <v>11</v>
      </c>
      <c r="H26" t="s">
        <v>15</v>
      </c>
    </row>
    <row r="27" spans="1:8">
      <c r="A27" t="s">
        <v>8</v>
      </c>
      <c r="B27">
        <v>67</v>
      </c>
      <c r="C27" t="s">
        <v>9</v>
      </c>
      <c r="D27" t="s">
        <v>14</v>
      </c>
      <c r="E27">
        <v>12</v>
      </c>
      <c r="F27">
        <v>2.13</v>
      </c>
      <c r="G27" t="s">
        <v>11</v>
      </c>
      <c r="H27" t="s">
        <v>12</v>
      </c>
    </row>
    <row r="28" spans="1:8">
      <c r="A28" t="s">
        <v>8</v>
      </c>
      <c r="B28">
        <v>68</v>
      </c>
      <c r="C28" t="s">
        <v>10</v>
      </c>
      <c r="D28" t="s">
        <v>13</v>
      </c>
      <c r="E28">
        <v>12</v>
      </c>
      <c r="F28">
        <v>1.67</v>
      </c>
      <c r="G28" t="s">
        <v>11</v>
      </c>
      <c r="H28" t="s">
        <v>12</v>
      </c>
    </row>
    <row r="29" spans="1:8">
      <c r="A29" t="s">
        <v>8</v>
      </c>
      <c r="B29">
        <v>68</v>
      </c>
      <c r="C29" t="s">
        <v>13</v>
      </c>
      <c r="D29" t="s">
        <v>10</v>
      </c>
      <c r="E29">
        <v>10</v>
      </c>
      <c r="F29">
        <v>2.13</v>
      </c>
      <c r="G29" t="s">
        <v>11</v>
      </c>
      <c r="H29" t="s">
        <v>12</v>
      </c>
    </row>
    <row r="30" spans="1:8">
      <c r="A30" t="s">
        <v>16</v>
      </c>
      <c r="B30">
        <v>69</v>
      </c>
      <c r="C30" t="s">
        <v>25</v>
      </c>
      <c r="D30" t="s">
        <v>17</v>
      </c>
      <c r="E30">
        <v>24</v>
      </c>
      <c r="F30">
        <v>1.7</v>
      </c>
      <c r="G30" t="s">
        <v>11</v>
      </c>
      <c r="H30" t="s">
        <v>12</v>
      </c>
    </row>
    <row r="31" spans="1:8">
      <c r="A31" t="s">
        <v>16</v>
      </c>
      <c r="B31">
        <v>69</v>
      </c>
      <c r="C31" t="s">
        <v>17</v>
      </c>
      <c r="D31" t="s">
        <v>25</v>
      </c>
      <c r="E31">
        <v>13</v>
      </c>
      <c r="F31">
        <v>0.93</v>
      </c>
      <c r="G31" t="s">
        <v>11</v>
      </c>
      <c r="H31" t="s">
        <v>12</v>
      </c>
    </row>
    <row r="32" spans="1:8">
      <c r="A32" t="s">
        <v>16</v>
      </c>
      <c r="B32">
        <v>70</v>
      </c>
      <c r="C32" t="s">
        <v>18</v>
      </c>
      <c r="D32" t="s">
        <v>24</v>
      </c>
      <c r="E32">
        <v>19</v>
      </c>
      <c r="F32">
        <v>2.1800000000000002</v>
      </c>
      <c r="G32" t="s">
        <v>11</v>
      </c>
      <c r="H32" t="s">
        <v>12</v>
      </c>
    </row>
    <row r="33" spans="1:8">
      <c r="A33" t="s">
        <v>16</v>
      </c>
      <c r="B33">
        <v>70</v>
      </c>
      <c r="C33" t="s">
        <v>24</v>
      </c>
      <c r="D33" t="s">
        <v>18</v>
      </c>
      <c r="E33">
        <v>3</v>
      </c>
      <c r="F33">
        <v>0.2</v>
      </c>
      <c r="G33" t="s">
        <v>11</v>
      </c>
      <c r="H33" t="s">
        <v>15</v>
      </c>
    </row>
    <row r="34" spans="1:8">
      <c r="A34" t="s">
        <v>19</v>
      </c>
      <c r="B34">
        <v>71</v>
      </c>
      <c r="C34" t="s">
        <v>23</v>
      </c>
      <c r="D34" t="s">
        <v>20</v>
      </c>
      <c r="E34">
        <v>13</v>
      </c>
      <c r="F34">
        <v>0.57999999999999996</v>
      </c>
      <c r="G34" t="s">
        <v>11</v>
      </c>
      <c r="H34" t="s">
        <v>15</v>
      </c>
    </row>
    <row r="35" spans="1:8">
      <c r="A35" t="s">
        <v>19</v>
      </c>
      <c r="B35">
        <v>71</v>
      </c>
      <c r="C35" t="s">
        <v>20</v>
      </c>
      <c r="D35" t="s">
        <v>23</v>
      </c>
      <c r="E35">
        <v>17</v>
      </c>
      <c r="F35">
        <v>1.49</v>
      </c>
      <c r="G35" t="s">
        <v>11</v>
      </c>
      <c r="H35" t="s">
        <v>12</v>
      </c>
    </row>
    <row r="36" spans="1:8">
      <c r="A36" t="s">
        <v>19</v>
      </c>
      <c r="B36">
        <v>72</v>
      </c>
      <c r="C36" t="s">
        <v>21</v>
      </c>
      <c r="D36" t="s">
        <v>22</v>
      </c>
      <c r="E36">
        <v>8</v>
      </c>
      <c r="F36">
        <v>0.42</v>
      </c>
      <c r="G36" t="s">
        <v>11</v>
      </c>
      <c r="H36" t="s">
        <v>12</v>
      </c>
    </row>
    <row r="37" spans="1:8">
      <c r="A37" t="s">
        <v>19</v>
      </c>
      <c r="B37">
        <v>72</v>
      </c>
      <c r="C37" t="s">
        <v>22</v>
      </c>
      <c r="D37" t="s">
        <v>21</v>
      </c>
      <c r="E37">
        <v>6</v>
      </c>
      <c r="F37">
        <v>0.74</v>
      </c>
      <c r="G37" t="s">
        <v>11</v>
      </c>
      <c r="H37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8918-825A-674C-AA90-CD0E127151AB}">
  <dimension ref="A1:J16"/>
  <sheetViews>
    <sheetView tabSelected="1" zoomScaleNormal="100" workbookViewId="0">
      <selection activeCell="D17" sqref="D17"/>
    </sheetView>
  </sheetViews>
  <sheetFormatPr defaultColWidth="10.875" defaultRowHeight="29.1"/>
  <cols>
    <col min="1" max="1" width="12.375" style="2" customWidth="1"/>
    <col min="2" max="2" width="30.625" style="2" customWidth="1"/>
    <col min="3" max="3" width="18.5" style="2" customWidth="1"/>
    <col min="4" max="4" width="18.625" style="2" customWidth="1"/>
    <col min="5" max="5" width="16.875" style="2" customWidth="1"/>
    <col min="6" max="6" width="29" style="2" customWidth="1"/>
    <col min="7" max="8" width="10.875" style="2"/>
    <col min="9" max="9" width="56.5" style="2" customWidth="1"/>
    <col min="10" max="10" width="32" style="2" customWidth="1"/>
    <col min="11" max="16384" width="10.875" style="2"/>
  </cols>
  <sheetData>
    <row r="1" spans="1:10">
      <c r="A1" s="9" t="s">
        <v>26</v>
      </c>
    </row>
    <row r="3" spans="1:10">
      <c r="A3" s="8" t="s">
        <v>0</v>
      </c>
      <c r="B3" s="8" t="s">
        <v>2</v>
      </c>
      <c r="C3" s="8" t="s">
        <v>7</v>
      </c>
      <c r="D3" s="8" t="s">
        <v>27</v>
      </c>
      <c r="E3" s="8" t="s">
        <v>28</v>
      </c>
      <c r="F3" s="8" t="s">
        <v>29</v>
      </c>
    </row>
    <row r="4" spans="1:10">
      <c r="A4" s="2" t="s">
        <v>8</v>
      </c>
      <c r="B4" s="2" t="s">
        <v>10</v>
      </c>
      <c r="C4" s="2" t="s">
        <v>12</v>
      </c>
      <c r="D4" s="2">
        <v>37</v>
      </c>
      <c r="E4" s="2">
        <v>3.88</v>
      </c>
      <c r="F4" s="3">
        <v>0.104864864864864</v>
      </c>
    </row>
    <row r="5" spans="1:10">
      <c r="A5" s="2" t="s">
        <v>8</v>
      </c>
      <c r="B5" s="2" t="s">
        <v>9</v>
      </c>
      <c r="C5" s="2" t="s">
        <v>12</v>
      </c>
      <c r="D5" s="2">
        <v>34</v>
      </c>
      <c r="E5" s="2">
        <v>5.75</v>
      </c>
      <c r="F5" s="3">
        <v>0.16911764705882301</v>
      </c>
    </row>
    <row r="6" spans="1:10">
      <c r="A6" s="2" t="s">
        <v>8</v>
      </c>
      <c r="B6" s="2" t="s">
        <v>13</v>
      </c>
      <c r="C6" s="2" t="s">
        <v>12</v>
      </c>
      <c r="D6" s="2">
        <v>26</v>
      </c>
      <c r="E6" s="2">
        <v>4.32</v>
      </c>
      <c r="F6" s="3">
        <v>0.16615384615384601</v>
      </c>
      <c r="I6" s="7" t="s">
        <v>30</v>
      </c>
      <c r="J6" s="7" t="s">
        <v>31</v>
      </c>
    </row>
    <row r="7" spans="1:10">
      <c r="A7" s="2" t="s">
        <v>8</v>
      </c>
      <c r="B7" s="2" t="s">
        <v>14</v>
      </c>
      <c r="C7" s="2" t="s">
        <v>15</v>
      </c>
      <c r="D7" s="2">
        <v>22</v>
      </c>
      <c r="E7" s="2">
        <v>1.92</v>
      </c>
      <c r="F7" s="3">
        <v>8.7272727272727196E-2</v>
      </c>
      <c r="I7" s="6" t="s">
        <v>32</v>
      </c>
      <c r="J7" s="6">
        <f>COUNTIF(C4:C15,"Yes")</f>
        <v>9</v>
      </c>
    </row>
    <row r="8" spans="1:10">
      <c r="A8" s="2" t="s">
        <v>16</v>
      </c>
      <c r="B8" s="2" t="s">
        <v>25</v>
      </c>
      <c r="C8" s="2" t="s">
        <v>12</v>
      </c>
      <c r="D8" s="2">
        <v>53</v>
      </c>
      <c r="E8" s="2">
        <v>4.29</v>
      </c>
      <c r="F8" s="3">
        <v>8.0943396226415096E-2</v>
      </c>
      <c r="I8" s="6" t="s">
        <v>33</v>
      </c>
      <c r="J8" s="6">
        <f>COUNTIF(C4:C15,"No")</f>
        <v>3</v>
      </c>
    </row>
    <row r="9" spans="1:10">
      <c r="A9" s="2" t="s">
        <v>16</v>
      </c>
      <c r="B9" s="2" t="s">
        <v>18</v>
      </c>
      <c r="C9" s="2" t="s">
        <v>12</v>
      </c>
      <c r="D9" s="2">
        <v>35</v>
      </c>
      <c r="E9" s="2">
        <v>3.42</v>
      </c>
      <c r="F9" s="3">
        <v>9.7714285714285698E-2</v>
      </c>
      <c r="I9" s="6" t="s">
        <v>34</v>
      </c>
      <c r="J9" s="5">
        <f>SUMIF(C4:C15,"Yes",F4:F15)/COUNTIF(C4:C15,"Yes")</f>
        <v>0.1149895203068282</v>
      </c>
    </row>
    <row r="10" spans="1:10">
      <c r="A10" s="2" t="s">
        <v>16</v>
      </c>
      <c r="B10" s="2" t="s">
        <v>17</v>
      </c>
      <c r="C10" s="2" t="s">
        <v>12</v>
      </c>
      <c r="D10" s="2">
        <v>38</v>
      </c>
      <c r="E10" s="2">
        <v>4.1899999999999897</v>
      </c>
      <c r="F10" s="3">
        <v>0.11026315789473599</v>
      </c>
      <c r="I10" s="6" t="s">
        <v>35</v>
      </c>
      <c r="J10" s="5">
        <f>SUMIF(C4:C15,"No",F4:F15)/COUNTIF(C4:C15,"No")</f>
        <v>8.2424242424242358E-2</v>
      </c>
    </row>
    <row r="11" spans="1:10">
      <c r="A11" s="2" t="s">
        <v>16</v>
      </c>
      <c r="B11" s="2" t="s">
        <v>24</v>
      </c>
      <c r="C11" s="2" t="s">
        <v>15</v>
      </c>
      <c r="D11" s="2">
        <v>16</v>
      </c>
      <c r="E11" s="2">
        <v>1.5999999999999901</v>
      </c>
      <c r="F11" s="3">
        <v>9.9999999999999895E-2</v>
      </c>
      <c r="I11" s="6" t="s">
        <v>36</v>
      </c>
      <c r="J11" s="5">
        <f>J9-J10</f>
        <v>3.2565277882585841E-2</v>
      </c>
    </row>
    <row r="12" spans="1:10">
      <c r="A12" s="2" t="s">
        <v>19</v>
      </c>
      <c r="B12" s="2" t="s">
        <v>21</v>
      </c>
      <c r="C12" s="2" t="s">
        <v>12</v>
      </c>
      <c r="D12" s="2">
        <v>33</v>
      </c>
      <c r="E12" s="2">
        <v>2.77</v>
      </c>
      <c r="F12" s="3">
        <v>8.3939393939393897E-2</v>
      </c>
    </row>
    <row r="13" spans="1:10">
      <c r="A13" s="2" t="s">
        <v>19</v>
      </c>
      <c r="B13" s="2" t="s">
        <v>20</v>
      </c>
      <c r="C13" s="2" t="s">
        <v>12</v>
      </c>
      <c r="D13" s="2">
        <v>50</v>
      </c>
      <c r="E13" s="2">
        <v>6.05</v>
      </c>
      <c r="F13" s="3">
        <v>0.121</v>
      </c>
    </row>
    <row r="14" spans="1:10">
      <c r="A14" s="2" t="s">
        <v>19</v>
      </c>
      <c r="B14" s="2" t="s">
        <v>22</v>
      </c>
      <c r="C14" s="2" t="s">
        <v>12</v>
      </c>
      <c r="D14" s="2">
        <v>22</v>
      </c>
      <c r="E14" s="2">
        <v>2.2200000000000002</v>
      </c>
      <c r="F14" s="3">
        <v>0.10090909090909</v>
      </c>
      <c r="I14" s="4" t="s">
        <v>37</v>
      </c>
      <c r="J14"/>
    </row>
    <row r="15" spans="1:10">
      <c r="A15" s="2" t="s">
        <v>19</v>
      </c>
      <c r="B15" s="2" t="s">
        <v>23</v>
      </c>
      <c r="C15" s="2" t="s">
        <v>15</v>
      </c>
      <c r="D15" s="2">
        <v>31</v>
      </c>
      <c r="E15" s="2">
        <v>1.8599999999999901</v>
      </c>
      <c r="F15" s="3">
        <v>0.06</v>
      </c>
      <c r="I15"/>
      <c r="J15"/>
    </row>
    <row r="16" spans="1:10">
      <c r="I16"/>
      <c r="J16"/>
    </row>
  </sheetData>
  <pageMargins left="0.75" right="0.75" top="1" bottom="1" header="0.5" footer="0.5"/>
  <pageSetup paperSize="9" orientation="portrait" horizontalDpi="0" verticalDpi="0"/>
  <headerFooter>
    <oddHeader>&amp;CTeam Level Group Stage Summary (Group J - L)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7F192E28B844A80928816BC034C36" ma:contentTypeVersion="7" ma:contentTypeDescription="Create a new document." ma:contentTypeScope="" ma:versionID="ffc54e1a4586fd50a934657beb2559a9">
  <xsd:schema xmlns:xsd="http://www.w3.org/2001/XMLSchema" xmlns:xs="http://www.w3.org/2001/XMLSchema" xmlns:p="http://schemas.microsoft.com/office/2006/metadata/properties" xmlns:ns2="39a02643-6cd0-4bab-99cd-dce2e63a7a76" targetNamespace="http://schemas.microsoft.com/office/2006/metadata/properties" ma:root="true" ma:fieldsID="01a31a2aafbe5e98b23ab5af23f03da6" ns2:_="">
    <xsd:import namespace="39a02643-6cd0-4bab-99cd-dce2e63a7a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02643-6cd0-4bab-99cd-dce2e63a7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3F992C-A882-4E63-B884-A8E79545EE9A}"/>
</file>

<file path=customXml/itemProps2.xml><?xml version="1.0" encoding="utf-8"?>
<ds:datastoreItem xmlns:ds="http://schemas.openxmlformats.org/officeDocument/2006/customXml" ds:itemID="{6DA85C84-4B5F-4C64-AAFA-614747331653}"/>
</file>

<file path=customXml/itemProps3.xml><?xml version="1.0" encoding="utf-8"?>
<ds:datastoreItem xmlns:ds="http://schemas.openxmlformats.org/officeDocument/2006/customXml" ds:itemID="{4E0BDD47-8C08-44AD-8798-3A767B2921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Enosh Basnet</cp:lastModifiedBy>
  <cp:revision/>
  <dcterms:created xsi:type="dcterms:W3CDTF">2026-08-14T13:44:06Z</dcterms:created>
  <dcterms:modified xsi:type="dcterms:W3CDTF">2026-08-15T02:26:52Z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0x01010017D7F192E28B844A80928816BC034C36</vt:lpwstr>
  </property>
</Properties>
</file>