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104_Matches" sheetId="1" state="visible" r:id="rId3"/>
    <sheet name="Data_Rules" sheetId="2" state="visible" r:id="rId4"/>
    <sheet name="X4_X6_Audit" sheetId="3" state="visible" r:id="rId5"/>
  </sheets>
  <calcPr iterateCount="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<sst xmlns="http://schemas.openxmlformats.org/spreadsheetml/2006/main" count="987" uniqueCount="352">
  <si>
    <t xml:space="preserve">match_id</t>
  </si>
  <si>
    <t xml:space="preserve">match_date</t>
  </si>
  <si>
    <t xml:space="preserve">stage</t>
  </si>
  <si>
    <t xml:space="preserve">group</t>
  </si>
  <si>
    <t xml:space="preserve">team_a</t>
  </si>
  <si>
    <t xml:space="preserve">team_b</t>
  </si>
  <si>
    <t xml:space="preserve">fifa_rank_diff</t>
  </si>
  <si>
    <t xml:space="preserve">elo_rating_diff</t>
  </si>
  <si>
    <t xml:space="preserve">last5_avg_goals_scored_diff</t>
  </si>
  <si>
    <t xml:space="preserve">last5_avg_goals_conceded_diff</t>
  </si>
  <si>
    <t xml:space="preserve">last5_win_rate_diff</t>
  </si>
  <si>
    <t xml:space="preserve">last5_clean_sheet_rate_diff</t>
  </si>
  <si>
    <t xml:space="preserve">rest_days_diff</t>
  </si>
  <si>
    <t xml:space="preserve">last5_opponent_strength_diff</t>
  </si>
  <si>
    <t xml:space="preserve">team_a_goals</t>
  </si>
  <si>
    <t xml:space="preserve">team_b_goals</t>
  </si>
  <si>
    <t xml:space="preserve">result_note</t>
  </si>
  <si>
    <t xml:space="preserve">goal_difference</t>
  </si>
  <si>
    <t xml:space="preserve">collection_status</t>
  </si>
  <si>
    <t xml:space="preserve">source_url</t>
  </si>
  <si>
    <t xml:space="preserve">Group Stage</t>
  </si>
  <si>
    <t xml:space="preserve">A</t>
  </si>
  <si>
    <t xml:space="preserve">Mexico</t>
  </si>
  <si>
    <t xml:space="preserve">South Africa</t>
  </si>
  <si>
    <t xml:space="preserve">https://www.fifa.com/en/tournaments/mens/worldcup/canadamexicousa2026/articles/match-schedule-fixtures-results-teams-stadiums</t>
  </si>
  <si>
    <t xml:space="preserve">Korea Republic</t>
  </si>
  <si>
    <t xml:space="preserve">Czechia</t>
  </si>
  <si>
    <t xml:space="preserve">B</t>
  </si>
  <si>
    <t xml:space="preserve">Canada</t>
  </si>
  <si>
    <t xml:space="preserve">Bosnia and Herzegovina</t>
  </si>
  <si>
    <t xml:space="preserve">D</t>
  </si>
  <si>
    <t xml:space="preserve">USA</t>
  </si>
  <si>
    <t xml:space="preserve">Paraguay</t>
  </si>
  <si>
    <t xml:space="preserve">C</t>
  </si>
  <si>
    <t xml:space="preserve">Haiti</t>
  </si>
  <si>
    <t xml:space="preserve">Scotland</t>
  </si>
  <si>
    <t xml:space="preserve">Australia</t>
  </si>
  <si>
    <t xml:space="preserve">Türkiye</t>
  </si>
  <si>
    <t xml:space="preserve">Brazil</t>
  </si>
  <si>
    <t xml:space="preserve">Morocco</t>
  </si>
  <si>
    <t xml:space="preserve">Qatar</t>
  </si>
  <si>
    <t xml:space="preserve">Switzerland</t>
  </si>
  <si>
    <t xml:space="preserve">E</t>
  </si>
  <si>
    <t xml:space="preserve">Côte d'Ivoire</t>
  </si>
  <si>
    <t xml:space="preserve">Ecuador</t>
  </si>
  <si>
    <t xml:space="preserve">Germany</t>
  </si>
  <si>
    <t xml:space="preserve">Curaçao</t>
  </si>
  <si>
    <t xml:space="preserve">F</t>
  </si>
  <si>
    <t xml:space="preserve">Netherlands</t>
  </si>
  <si>
    <t xml:space="preserve">Japan</t>
  </si>
  <si>
    <t xml:space="preserve">Sweden</t>
  </si>
  <si>
    <t xml:space="preserve">Tunisia</t>
  </si>
  <si>
    <t xml:space="preserve">H</t>
  </si>
  <si>
    <t xml:space="preserve">Saudi Arabia</t>
  </si>
  <si>
    <t xml:space="preserve">Uruguay</t>
  </si>
  <si>
    <t xml:space="preserve">Spain</t>
  </si>
  <si>
    <t xml:space="preserve">Cabo Verde</t>
  </si>
  <si>
    <t xml:space="preserve">G</t>
  </si>
  <si>
    <t xml:space="preserve">IR Iran</t>
  </si>
  <si>
    <t xml:space="preserve">New Zealand</t>
  </si>
  <si>
    <t xml:space="preserve">Belgium</t>
  </si>
  <si>
    <t xml:space="preserve">Egypt</t>
  </si>
  <si>
    <t xml:space="preserve">I</t>
  </si>
  <si>
    <t xml:space="preserve">France</t>
  </si>
  <si>
    <t xml:space="preserve">Senegal</t>
  </si>
  <si>
    <t xml:space="preserve">Iraq</t>
  </si>
  <si>
    <t xml:space="preserve">Norway</t>
  </si>
  <si>
    <t xml:space="preserve">J</t>
  </si>
  <si>
    <t xml:space="preserve">Argentina</t>
  </si>
  <si>
    <t xml:space="preserve">Algeria</t>
  </si>
  <si>
    <t xml:space="preserve">Austria</t>
  </si>
  <si>
    <t xml:space="preserve">Jordan</t>
  </si>
  <si>
    <t xml:space="preserve">L</t>
  </si>
  <si>
    <t xml:space="preserve">Ghana</t>
  </si>
  <si>
    <t xml:space="preserve">Panama</t>
  </si>
  <si>
    <t xml:space="preserve">England</t>
  </si>
  <si>
    <t xml:space="preserve">Croatia</t>
  </si>
  <si>
    <t xml:space="preserve">K</t>
  </si>
  <si>
    <t xml:space="preserve">Portugal</t>
  </si>
  <si>
    <t xml:space="preserve">Congo DR</t>
  </si>
  <si>
    <t xml:space="preserve">Uzbekistan</t>
  </si>
  <si>
    <t xml:space="preserve">Colombia</t>
  </si>
  <si>
    <t xml:space="preserve">Round of 32</t>
  </si>
  <si>
    <t xml:space="preserve">https://www.fifa.com/en/tournaments/mens/worldcup/2026/articles/knockout-stage-match-schedule-bracket</t>
  </si>
  <si>
    <t xml:space="preserve">PSO 3-4</t>
  </si>
  <si>
    <t xml:space="preserve">PSO 2-3</t>
  </si>
  <si>
    <t xml:space="preserve">AET</t>
  </si>
  <si>
    <t xml:space="preserve">PSO 2-4</t>
  </si>
  <si>
    <t xml:space="preserve">Round of 16</t>
  </si>
  <si>
    <t xml:space="preserve">PSO 4-3</t>
  </si>
  <si>
    <t xml:space="preserve">Quarter-finals</t>
  </si>
  <si>
    <t xml:space="preserve">Semi-finals</t>
  </si>
  <si>
    <t xml:space="preserve">Bronze Final</t>
  </si>
  <si>
    <t xml:space="preserve">Final</t>
  </si>
  <si>
    <t xml:space="preserve">Rule</t>
  </si>
  <si>
    <t xml:space="preserve">Agreed definition</t>
  </si>
  <si>
    <t xml:space="preserve">Team A / Team B</t>
  </si>
  <si>
    <t xml:space="preserve">Team A is the first-listed team in the FIFA match record; Team B is the second-listed team.</t>
  </si>
  <si>
    <t xml:space="preserve">Difference direction</t>
  </si>
  <si>
    <t xml:space="preserve">All eight explanatory variables use Team A value − Team B value.</t>
  </si>
  <si>
    <t xml:space="preserve">Previous five matches</t>
  </si>
  <si>
    <t xml:space="preserve">The five most recent senior international matches completed before kickoff of the match being predicted.</t>
  </si>
  <si>
    <t xml:space="preserve">No data leakage</t>
  </si>
  <si>
    <t xml:space="preserve">Do not use the current match or any match that occurred later.</t>
  </si>
  <si>
    <t xml:space="preserve">FIFA ranking</t>
  </si>
  <si>
    <t xml:space="preserve">Use the latest official FIFA ranking publication available before kickoff.</t>
  </si>
  <si>
    <t xml:space="preserve">Penalty shootouts</t>
  </si>
  <si>
    <t xml:space="preserve">Do not add penalty-shootout kicks to goals scored, goals conceded, or goal difference.</t>
  </si>
  <si>
    <t xml:space="preserve">Extra time</t>
  </si>
  <si>
    <t xml:space="preserve">Include goals scored during extra time in the final match score and goal difference.</t>
  </si>
  <si>
    <t xml:space="preserve">Win rate after PSO</t>
  </si>
  <si>
    <t xml:space="preserve">If a historical match is level after extra time and decided by penalties, treat it as a draw for win-rate calculation.</t>
  </si>
  <si>
    <t xml:space="preserve">Missing data</t>
  </si>
  <si>
    <t xml:space="preserve">The old xG and shots-on-target predictors were replaced. Do not substitute 0 for missing values in the eight current predictors; investigate or document missingness.</t>
  </si>
  <si>
    <t xml:space="preserve">This is an internal project identifier assigned chronologically from 1 to 104; it is not intended to represent FIFA's official match number.</t>
  </si>
  <si>
    <t xml:space="preserve">Target</t>
  </si>
  <si>
    <t xml:space="preserve">goal_difference = team_a_goals − team_b_goals.</t>
  </si>
  <si>
    <t xml:space="preserve">Rest days difference</t>
  </si>
  <si>
    <t xml:space="preserve">Days since Team A previous completed match minus days since Team B previous completed match, measured before kickoff; use a consistent date-based convention.</t>
  </si>
  <si>
    <t xml:space="preserve">Previous-five opponent strength</t>
  </si>
  <si>
    <t xml:space="preserve">Mean FIFA ranking of the previous five opponents of Team A minus that of Team B. Use the latest ranking available before each historical opponent match.</t>
  </si>
  <si>
    <t xml:space="preserve">Elo rating</t>
  </si>
  <si>
    <t xml:space="preserve">Use the most recent Elo rating available immediately before each match.</t>
  </si>
  <si>
    <t xml:space="preserve">Status interpretation</t>
  </si>
  <si>
    <t xml:space="preserve">Not Started means explanatory-variable collection has not started; it does not imply that recorded match scores are verified. Confirm match results against an authoritative match source.</t>
  </si>
  <si>
    <t xml:space="preserve">Target versus features</t>
  </si>
  <si>
    <t xml:space="preserve">Goal difference = Team A goals minus Team B goals. Goal difference and the two current-match goal columns are outcomes, not explanatory variables; exclude them from X.</t>
  </si>
  <si>
    <t xml:space="preserve">Team A previous 5 (date opponent GF-GA)</t>
  </si>
  <si>
    <t xml:space="preserve">Team B previous 5 (date opponent GF-GA)</t>
  </si>
  <si>
    <t xml:space="preserve">A goals conceded (5)</t>
  </si>
  <si>
    <t xml:space="preserve">B goals conceded (5)</t>
  </si>
  <si>
    <t xml:space="preserve">A avg conceded</t>
  </si>
  <si>
    <t xml:space="preserve">B avg conceded</t>
  </si>
  <si>
    <t xml:space="preserve">X4 = A - B</t>
  </si>
  <si>
    <t xml:space="preserve">A clean sheets (of 5)</t>
  </si>
  <si>
    <t xml:space="preserve">B clean sheets (of 5)</t>
  </si>
  <si>
    <t xml:space="preserve">A clean-sheet rate</t>
  </si>
  <si>
    <t xml:space="preserve">B clean-sheet rate</t>
  </si>
  <si>
    <t xml:space="preserve">X6 = A - B</t>
  </si>
  <si>
    <t xml:space="preserve">2026-03-28 Portugal 0-0; 2026-03-31 Belgium 1-1; 2026-05-22 Ghana 2-0; 2026-05-30 Australia 1-0; 2026-06-04 Serbia 5-1</t>
  </si>
  <si>
    <t xml:space="preserve">2026-01-04 Cameroon 1-2; 2026-03-27 Panama 1-1; 2026-03-31 Panama 1-2; 2026-05-29 Nicaragua 0-0; 2026-06-06 Jamaica 1-0</t>
  </si>
  <si>
    <t xml:space="preserve">2025-11-18 Ghana 1-0; 2026-03-28 Ivory Coast 0-4; 2026-03-31 Austria 0-1; 2026-05-30 Trinidad and Tobago 5-0; 2026-06-03 El Salvador 1-0</t>
  </si>
  <si>
    <t xml:space="preserve">2025-11-17 Gibraltar 6-0; 2026-03-26 Republic of Ireland 2-2; 2026-03-31 Denmark 2-2; 2026-05-31 Kosovo 2-1; 2026-06-04 Guatemala 5-1</t>
  </si>
  <si>
    <t xml:space="preserve">2025-11-18 Venezuela 2-0; 2026-03-28 Iceland 2-2; 2026-03-31 Tunisia 0-0; 2026-06-01 Uzbekistan 2-0; 2026-06-05 Republic of Ireland 1-1</t>
  </si>
  <si>
    <t xml:space="preserve">2025-11-18 Austria 1-1; 2026-03-26 Wales 1-1; 2026-03-31 Italy 1-1; 2026-05-29 North Macedonia 0-0; 2026-06-06 Panama 1-1</t>
  </si>
  <si>
    <t xml:space="preserve">2025-11-18 Uruguay 5-1; 2026-03-28 Belgium 2-5; 2026-03-31 Portugal 0-2; 2026-05-31 Senegal 3-2; 2026-06-06 Germany 1-2</t>
  </si>
  <si>
    <t xml:space="preserve">2025-11-15 United States 1-2; 2025-11-18 Mexico 2-1; 2026-03-27 Greece 1-0; 2026-03-31 Morocco 1-2; 2026-06-05 Nicaragua 4-0</t>
  </si>
  <si>
    <t xml:space="preserve">2025-11-18 Nicaragua 2-0; 2026-03-28 Tunisia 0-1; 2026-03-31 Iceland 1-1; 2026-06-02 New Zealand 4-0; 2026-06-05 Peru 1-2</t>
  </si>
  <si>
    <t xml:space="preserve">2025-11-18 Denmark 4-2; 2026-03-28 Japan 0-1; 2026-03-31 Ivory Coast 0-1; 2026-05-30 Curaçao 4-1; 2026-06-06 Bolivia 4-0</t>
  </si>
  <si>
    <t xml:space="preserve">2025-11-18 Colombia 0-3; 2026-03-27 Cameroon 1-0; 2026-03-31 Curaçao 5-1; 2026-05-30 Mexico 0-1; 2026-06-06 Switzerland 1-1</t>
  </si>
  <si>
    <t xml:space="preserve">2025-11-18 Spain 2-2; 2026-03-26 Romania 1-0; 2026-03-31 Kosovo 1-0; 2026-06-01 North Macedonia 4-0; 2026-06-06 Venezuela 2-1</t>
  </si>
  <si>
    <t xml:space="preserve">2025-11-18 Tunisia 1-1; 2026-03-26 France 1-2; 2026-03-31 Croatia 3-1; 2026-05-31 Panama 6-2; 2026-06-06 Egypt 2-1</t>
  </si>
  <si>
    <t xml:space="preserve">2026-03-27 Ecuador 1-1; 2026-03-31 Paraguay 2-1; 2026-05-26 Burundi 5-0; 2026-06-02 Madagascar 4-0; 2026-06-07 Norway 1-1</t>
  </si>
  <si>
    <t xml:space="preserve">2025-12-01 Palestine 0-1; 2025-12-04 Syria 1-1; 2025-12-07 Tunisia 0-3; 2026-05-28 Republic of Ireland 0-1; 2026-06-06 El Salvador 0-0</t>
  </si>
  <si>
    <t xml:space="preserve">2025-11-18 Kosovo 1-1; 2026-03-27 Germany 3-4; 2026-03-31 Norway 0-0; 2026-05-31 Jordan 4-1; 2026-06-06 Australia 1-1</t>
  </si>
  <si>
    <t xml:space="preserve">2026-01-06 Burkina Faso 3-0; 2026-01-10 Egypt 2-3; 2026-03-28 South Korea 4-0; 2026-03-31 Scotland 1-0; 2026-06-04 France 2-1</t>
  </si>
  <si>
    <t xml:space="preserve">2025-11-18 New Zealand 2-0; 2026-03-27 Morocco 1-1; 2026-03-31 Netherlands 1-1; 2026-05-30 Saudi Arabia 2-1; 2026-06-07 Guatemala 3-0</t>
  </si>
  <si>
    <t xml:space="preserve">2025-11-17 Slovakia 6-0; 2026-03-27 Switzerland 4-3; 2026-03-30 Ghana 2-1; 2026-05-31 Finland 4-0; 2026-06-06 United States 2-1</t>
  </si>
  <si>
    <t xml:space="preserve">2025-11-18 Jamaica 0-0; 2026-03-27 China 0-2; 2026-03-31 Australia 1-5; 2026-05-30 Scotland 1-4; 2026-06-06 Aruba 4-0</t>
  </si>
  <si>
    <t xml:space="preserve">2025-11-17 Lithuania 4-0; 2026-03-27 Norway 2-1; 2026-03-31 Ecuador 1-1; 2026-06-03 Algeria 0-1; 2026-06-08 Uzbekistan 2-1</t>
  </si>
  <si>
    <t xml:space="preserve">2025-11-14 Ghana 2-0; 2025-11-18 Bolivia 3-0; 2026-03-28 Scotland 1-0; 2026-03-31 England 1-0; 2026-05-31 Iceland 1-0</t>
  </si>
  <si>
    <t xml:space="preserve">2025-11-18 Slovenia 1-1; 2026-03-26 Ukraine 3-1; 2026-03-31 Poland 3-2; 2026-06-01 Norway 1-3; 2026-06-04 Greece 2-2</t>
  </si>
  <si>
    <t xml:space="preserve">2026-01-03 Mali 1-1; 2026-03-28 Haiti 1-0; 2026-03-31 Canada 0-0; 2026-06-01 Austria 0-1; 2026-06-06 Belgium 0-5</t>
  </si>
  <si>
    <t xml:space="preserve">2026-03-27 Egypt 0-4; 2026-03-31 Serbia 1-2; 2026-05-30 Ecuador 1-2; 2026-06-05 Puerto Rico 3-0; 2026-06-09 Senegal 0-0</t>
  </si>
  <si>
    <t xml:space="preserve">2025-10-13 Uzbekistan 2-1; 2025-11-15 Mexico 0-0; 2025-11-18 United States 1-5; 2026-03-27 England 1-1; 2026-03-31 Algeria 0-0</t>
  </si>
  <si>
    <t xml:space="preserve">2025-11-18 Turkey 2-2; 2026-03-27 Serbia 3-0; 2026-03-31 Egypt 0-0; 2026-06-04 Iraq 1-1; 2026-06-08 Peru 3-1</t>
  </si>
  <si>
    <t xml:space="preserve">2025-11-17 Egypt 1-1; 2026-03-27 Chile 2-4; 2026-03-30 Finland 1-1; 2026-05-31 Serbia 3-0; 2026-06-06 Bermuda 0-3</t>
  </si>
  <si>
    <t xml:space="preserve">2025-11-18 Uzbekistan 0-0; 2026-03-27 Nigeria 1-2; 2026-03-31 Costa Rica 5-0; 2026-05-29 Gambia 3-1; 2026-06-04 Mali 2-0</t>
  </si>
  <si>
    <t xml:space="preserve">2025-11-18 Ecuador 0-2; 2026-03-27 Finland 0-2; 2026-03-30 Chile 4-1; 2026-06-02 Haiti 0-4; 2026-06-06 England 0-1</t>
  </si>
  <si>
    <t xml:space="preserve">2025-11-18 Liechtenstein 7-0; 2026-03-28 United States 5-2; 2026-03-31 Mexico 1-1; 2026-06-02 Croatia 2-0; 2026-06-06 Tunisia 5-0</t>
  </si>
  <si>
    <t xml:space="preserve">2026-01-17 Nigeria 0-0; 2026-03-27 Saudi Arabia 4-0; 2026-03-31 Spain 0-0; 2026-05-28 Russia 1-0; 2026-06-06 Brazil 1-2</t>
  </si>
  <si>
    <t xml:space="preserve">2025-11-16 Azerbaijan 3-1; 2026-03-26 Brazil 2-1; 2026-03-29 Colombia 3-1; 2026-06-04 Ivory Coast 1-2; 2026-06-08 Northern Ireland 3-1</t>
  </si>
  <si>
    <t xml:space="preserve">2026-01-18 Morocco 0-3; 2026-03-28 Peru 2-0; 2026-03-31 Gambia 3-1; 2026-05-31 United States 2-3; 2026-06-09 Saudi Arabia 0-0</t>
  </si>
  <si>
    <t xml:space="preserve">2025-12-12 Jordan 0-1; 2026-03-31 Bolivia 2-1; 2026-05-29 Andorra 1-0; 2026-06-04 Spain 1-1; 2026-06-09 Venezuela 0-2</t>
  </si>
  <si>
    <t xml:space="preserve">2025-11-16 Italy 4-1; 2026-03-27 Netherlands 1-2; 2026-03-31 Switzerland 0-0; 2026-06-01 Sweden 3-1; 2026-06-07 Morocco 1-1</t>
  </si>
  <si>
    <t xml:space="preserve">2025-11-14 Angola 2-0; 2026-03-27 Mauritania 2-1; 2026-03-31 Zambia 5-0; 2026-06-06 Honduras 2-0; 2026-06-09 Iceland 3-0</t>
  </si>
  <si>
    <t xml:space="preserve">2026-01-10 Nigeria 0-2; 2026-03-27 Guatemala 7-0; 2026-03-31 Uruguay 0-0; 2026-06-03 Netherlands 1-0; 2026-06-10 Bolivia 4-0</t>
  </si>
  <si>
    <t xml:space="preserve">2025-11-15 Cyprus 2-0; 2025-11-18 Bosnia and Herzegovina 1-1; 2026-03-27 Ghana 5-1; 2026-03-31 South Korea 1-0; 2026-06-01 Tunisia 1-0</t>
  </si>
  <si>
    <t xml:space="preserve">2025-12-18 Morocco 2-3; 2026-03-27 Costa Rica 2-2; 2026-03-31 Nigeria 2-2; 2026-05-31 Switzerland 1-4; 2026-06-07 Colombia 0-2</t>
  </si>
  <si>
    <t xml:space="preserve">2025-11-18 South Korea 0-1; 2026-03-27 Austria 1-5; 2026-03-30 Germany 1-2; 2026-05-22 Mexico 0-2; 2026-06-02 Wales 1-1</t>
  </si>
  <si>
    <t xml:space="preserve">2026-03-27 South Africa 1-1; 2026-03-31 South Africa 2-1; 2026-05-31 Brazil 2-6; 2026-06-03 Dominican Republic 4-2; 2026-06-06 Bosnia and Herzegovina 1-1</t>
  </si>
  <si>
    <t xml:space="preserve">2025-11-16 Albania 2-0; 2026-03-27 Uruguay 1-1; 2026-03-31 Japan 0-1; 2026-06-06 New Zealand 1-0; 2026-06-10 Costa Rica 3-0</t>
  </si>
  <si>
    <t xml:space="preserve">2025-11-17 Montenegro 3-2; 2026-03-26 Colombia 2-1; 2026-03-31 Brazil 1-3; 2026-06-02 Belgium 0-2; 2026-06-07 Slovenia 2-1</t>
  </si>
  <si>
    <t xml:space="preserve">2025-11-16 Armenia 9-1; 2026-03-28 Mexico 0-0; 2026-03-31 United States 2-0; 2026-06-06 Chile 2-1; 2026-06-10 Nigeria 2-1</t>
  </si>
  <si>
    <t xml:space="preserve">2026-01-06 Algeria 0-1; 2026-03-25 Bermuda 2-0; 2026-03-31 Jamaica 1-0; 2026-06-03 Denmark 0-0; 2026-06-09 Chile 1-2</t>
  </si>
  <si>
    <t xml:space="preserve">2026-01-26 China 2-2; 2026-03-27 Gabon 3-1; 2026-03-30 Venezuela 0-0; 2026-06-01 Canada 0-2; 2026-06-08 Netherlands 1-2</t>
  </si>
  <si>
    <t xml:space="preserve">2025-11-18 Australia 3-0; 2026-03-26 Croatia 1-2; 2026-03-29 France 1-3; 2026-06-01 Costa Rica 3-1; 2026-06-07 Jordan 2-0</t>
  </si>
  <si>
    <t xml:space="preserve">2026-03-26 Republic of Ireland 2-2; 2026-03-31 Denmark 2-2; 2026-05-31 Kosovo 2-1; 2026-06-04 Guatemala 5-1; 2026-06-11 South Korea 1-2</t>
  </si>
  <si>
    <t xml:space="preserve">2026-03-27 Panama 1-1; 2026-03-31 Panama 1-2; 2026-05-29 Nicaragua 0-0; 2026-06-06 Jamaica 1-0; 2026-06-11 Mexico 0-2</t>
  </si>
  <si>
    <t xml:space="preserve">2026-03-27 Germany 3-4; 2026-03-31 Norway 0-0; 2026-05-31 Jordan 4-1; 2026-06-06 Australia 1-1; 2026-06-13 Qatar 1-1</t>
  </si>
  <si>
    <t xml:space="preserve">2026-03-26 Wales 1-1; 2026-03-31 Italy 1-1; 2026-05-29 North Macedonia 0-0; 2026-06-06 Panama 1-1; 2026-06-12 Canada 1-1</t>
  </si>
  <si>
    <t xml:space="preserve">2026-03-28 Iceland 2-2; 2026-03-31 Tunisia 0-0; 2026-06-01 Uzbekistan 2-0; 2026-06-05 Republic of Ireland 1-1; 2026-06-12 Bosnia and Herzegovina 1-1</t>
  </si>
  <si>
    <t xml:space="preserve">2025-12-04 Syria 1-1; 2025-12-07 Tunisia 0-3; 2026-05-28 Republic of Ireland 0-1; 2026-06-06 El Salvador 0-0; 2026-06-13 Switzerland 1-1</t>
  </si>
  <si>
    <t xml:space="preserve">2026-03-31 Belgium 1-1; 2026-05-22 Ghana 2-0; 2026-05-30 Australia 1-0; 2026-06-04 Serbia 5-1; 2026-06-11 South Africa 2-0</t>
  </si>
  <si>
    <t xml:space="preserve">2026-03-28 Ivory Coast 0-4; 2026-03-31 Austria 0-1; 2026-05-30 Trinidad and Tobago 5-0; 2026-06-03 El Salvador 1-0; 2026-06-11 Czech Republic 2-1</t>
  </si>
  <si>
    <t xml:space="preserve">2026-03-26 France 1-2; 2026-03-31 Croatia 3-1; 2026-05-31 Panama 6-2; 2026-06-06 Egypt 2-1; 2026-06-13 Morocco 1-1</t>
  </si>
  <si>
    <t xml:space="preserve">2026-03-28 Tunisia 0-1; 2026-03-31 Iceland 1-1; 2026-06-02 New Zealand 4-0; 2026-06-05 Peru 1-2; 2026-06-13 Scotland 0-1</t>
  </si>
  <si>
    <t xml:space="preserve">2026-03-28 Japan 0-1; 2026-03-31 Ivory Coast 0-1; 2026-05-30 Curaçao 4-1; 2026-06-06 Bolivia 4-0; 2026-06-13 Haiti 1-0</t>
  </si>
  <si>
    <t xml:space="preserve">2026-03-31 Paraguay 2-1; 2026-05-26 Burundi 5-0; 2026-06-02 Madagascar 4-0; 2026-06-07 Norway 1-1; 2026-06-13 Brazil 1-1</t>
  </si>
  <si>
    <t xml:space="preserve">2026-03-26 Romania 1-0; 2026-03-31 Kosovo 1-0; 2026-06-01 North Macedonia 4-0; 2026-06-06 Venezuela 2-1; 2026-06-13 Australia 0-2</t>
  </si>
  <si>
    <t xml:space="preserve">2025-11-18 Mexico 2-1; 2026-03-27 Greece 1-0; 2026-03-31 Morocco 1-2; 2026-06-05 Nicaragua 4-0; 2026-06-12 United States 1-4</t>
  </si>
  <si>
    <t xml:space="preserve">2026-03-28 Belgium 2-5; 2026-03-31 Portugal 0-2; 2026-05-31 Senegal 3-2; 2026-06-06 Germany 1-2; 2026-06-12 Paraguay 4-1</t>
  </si>
  <si>
    <t xml:space="preserve">2026-03-27 Cameroon 1-0; 2026-03-31 Curaçao 5-1; 2026-05-30 Mexico 0-1; 2026-06-06 Switzerland 1-1; 2026-06-13 Turkey 2-0</t>
  </si>
  <si>
    <t xml:space="preserve">2026-03-27 Switzerland 4-3; 2026-03-30 Ghana 2-1; 2026-05-31 Finland 4-0; 2026-06-06 United States 2-1; 2026-06-14 Curaçao 7-1</t>
  </si>
  <si>
    <t xml:space="preserve">2026-01-10 Egypt 2-3; 2026-03-28 South Korea 4-0; 2026-03-31 Scotland 1-0; 2026-06-04 France 2-1; 2026-06-14 Ecuador 1-0</t>
  </si>
  <si>
    <t xml:space="preserve">2026-03-27 Morocco 1-1; 2026-03-31 Netherlands 1-1; 2026-05-30 Saudi Arabia 2-1; 2026-06-07 Guatemala 3-0; 2026-06-14 Ivory Coast 0-1</t>
  </si>
  <si>
    <t xml:space="preserve">2026-03-27 China 0-2; 2026-03-31 Australia 1-5; 2026-05-30 Scotland 1-4; 2026-06-06 Aruba 4-0; 2026-06-14 Germany 1-7</t>
  </si>
  <si>
    <t xml:space="preserve">2026-03-27 Norway 2-1; 2026-03-31 Ecuador 1-1; 2026-06-03 Algeria 0-1; 2026-06-08 Uzbekistan 2-1; 2026-06-14 Japan 2-2</t>
  </si>
  <si>
    <t xml:space="preserve">2026-03-26 Ukraine 3-1; 2026-03-31 Poland 3-2; 2026-06-01 Norway 1-3; 2026-06-04 Greece 2-2; 2026-06-14 Tunisia 5-1</t>
  </si>
  <si>
    <t xml:space="preserve">2026-03-28 Haiti 1-0; 2026-03-31 Canada 0-0; 2026-06-01 Austria 0-1; 2026-06-06 Belgium 0-5; 2026-06-14 Sweden 1-5</t>
  </si>
  <si>
    <t xml:space="preserve">2025-11-18 Bolivia 3-0; 2026-03-28 Scotland 1-0; 2026-03-31 England 1-0; 2026-05-31 Iceland 1-0; 2026-06-14 Netherlands 2-2</t>
  </si>
  <si>
    <t xml:space="preserve">2025-11-15 Mexico 0-0; 2025-11-18 United States 1-5; 2026-03-27 England 1-1; 2026-03-31 Algeria 0-0; 2026-06-15 Saudi Arabia 1-1</t>
  </si>
  <si>
    <t xml:space="preserve">2026-03-27 Chile 2-4; 2026-03-30 Finland 1-1; 2026-05-31 Serbia 3-0; 2026-06-06 Bermuda 0-3; 2026-06-15 Spain 0-0</t>
  </si>
  <si>
    <t xml:space="preserve">2026-03-27 Serbia 3-0; 2026-03-31 Egypt 0-0; 2026-06-04 Iraq 1-1; 2026-06-08 Peru 3-1; 2026-06-15 Cape Verde 0-0</t>
  </si>
  <si>
    <t xml:space="preserve">2026-03-31 Serbia 1-2; 2026-05-30 Ecuador 1-2; 2026-06-05 Puerto Rico 3-0; 2026-06-09 Senegal 0-0; 2026-06-15 Uruguay 1-1</t>
  </si>
  <si>
    <t xml:space="preserve">2026-03-28 United States 5-2; 2026-03-31 Mexico 1-1; 2026-06-02 Croatia 2-0; 2026-06-06 Tunisia 5-0; 2026-06-15 Egypt 1-1</t>
  </si>
  <si>
    <t xml:space="preserve">2026-03-27 Nigeria 1-2; 2026-03-31 Costa Rica 5-0; 2026-05-29 Gambia 3-1; 2026-06-04 Mali 2-0; 2026-06-15 New Zealand 2-2</t>
  </si>
  <si>
    <t xml:space="preserve">2026-03-27 Finland 0-2; 2026-03-30 Chile 4-1; 2026-06-02 Haiti 0-4; 2026-06-06 England 0-1; 2026-06-15 Iran 2-2</t>
  </si>
  <si>
    <t xml:space="preserve">2026-03-27 Saudi Arabia 4-0; 2026-03-31 Spain 0-0; 2026-05-28 Russia 1-0; 2026-06-06 Brazil 1-2; 2026-06-15 Belgium 1-1</t>
  </si>
  <si>
    <t xml:space="preserve">2026-03-27 Netherlands 1-2; 2026-03-31 Switzerland 0-0; 2026-06-01 Sweden 3-1; 2026-06-07 Morocco 1-1; 2026-06-16 Iraq 4-1</t>
  </si>
  <si>
    <t xml:space="preserve">2026-03-28 Peru 2-0; 2026-03-31 Gambia 3-1; 2026-05-31 United States 2-3; 2026-06-09 Saudi Arabia 0-0; 2026-06-16 France 1-3</t>
  </si>
  <si>
    <t xml:space="preserve">2026-03-26 Brazil 2-1; 2026-03-29 Colombia 3-1; 2026-06-04 Ivory Coast 1-2; 2026-06-08 Northern Ireland 3-1; 2026-06-16 Senegal 3-1</t>
  </si>
  <si>
    <t xml:space="preserve">2026-03-31 Bolivia 2-1; 2026-05-29 Andorra 1-0; 2026-06-04 Spain 1-1; 2026-06-09 Venezuela 0-2; 2026-06-16 Norway 1-4</t>
  </si>
  <si>
    <t xml:space="preserve">2026-03-27 Mauritania 2-1; 2026-03-31 Zambia 5-0; 2026-06-06 Honduras 2-0; 2026-06-09 Iceland 3-0; 2026-06-16 Algeria 3-0</t>
  </si>
  <si>
    <t xml:space="preserve">2025-11-18 Bosnia and Herzegovina 1-1; 2026-03-27 Ghana 5-1; 2026-03-31 South Korea 1-0; 2026-06-01 Tunisia 1-0; 2026-06-16 Jordan 3-1</t>
  </si>
  <si>
    <t xml:space="preserve">2026-03-27 Costa Rica 2-2; 2026-03-31 Nigeria 2-2; 2026-05-31 Switzerland 1-4; 2026-06-07 Colombia 0-2; 2026-06-16 Austria 1-3</t>
  </si>
  <si>
    <t xml:space="preserve">2026-03-27 Guatemala 7-0; 2026-03-31 Uruguay 0-0; 2026-06-03 Netherlands 1-0; 2026-06-10 Bolivia 4-0; 2026-06-16 Argentina 0-3</t>
  </si>
  <si>
    <t xml:space="preserve">2026-03-27 Uruguay 1-1; 2026-03-31 Japan 0-1; 2026-06-06 New Zealand 1-0; 2026-06-10 Costa Rica 3-0; 2026-06-17 Croatia 4-2</t>
  </si>
  <si>
    <t xml:space="preserve">2026-03-27 Austria 1-5; 2026-03-30 Germany 1-2; 2026-05-22 Mexico 0-2; 2026-06-02 Wales 1-1; 2026-06-17 Panama 1-0</t>
  </si>
  <si>
    <t xml:space="preserve">2026-03-31 South Africa 2-1; 2026-05-31 Brazil 2-6; 2026-06-03 Dominican Republic 4-2; 2026-06-06 Bosnia and Herzegovina 1-1; 2026-06-17 Ghana 0-1</t>
  </si>
  <si>
    <t xml:space="preserve">2026-03-26 Colombia 2-1; 2026-03-31 Brazil 1-3; 2026-06-02 Belgium 0-2; 2026-06-07 Slovenia 2-1; 2026-06-17 England 2-4</t>
  </si>
  <si>
    <t xml:space="preserve">2026-03-28 Mexico 0-0; 2026-03-31 United States 2-0; 2026-06-06 Chile 2-1; 2026-06-10 Nigeria 2-1; 2026-06-17 DR Congo 1-1</t>
  </si>
  <si>
    <t xml:space="preserve">2026-03-27 Gabon 3-1; 2026-03-30 Venezuela 0-0; 2026-06-01 Canada 0-2; 2026-06-08 Netherlands 1-2; 2026-06-17 Colombia 1-3</t>
  </si>
  <si>
    <t xml:space="preserve">2026-03-26 Croatia 1-2; 2026-03-29 France 1-3; 2026-06-01 Costa Rica 3-1; 2026-06-07 Jordan 2-0; 2026-06-17 Uzbekistan 3-1</t>
  </si>
  <si>
    <t xml:space="preserve">2026-03-25 Bermuda 2-0; 2026-03-31 Jamaica 1-0; 2026-06-03 Denmark 0-0; 2026-06-09 Chile 1-2; 2026-06-17 Portugal 1-1</t>
  </si>
  <si>
    <t xml:space="preserve">2026-03-31 Ivory Coast 0-1; 2026-05-30 Curaçao 4-1; 2026-06-06 Bolivia 4-0; 2026-06-13 Haiti 1-0; 2026-06-19 Morocco 0-1</t>
  </si>
  <si>
    <t xml:space="preserve">2026-03-31 Croatia 3-1; 2026-05-31 Panama 6-2; 2026-06-06 Egypt 2-1; 2026-06-13 Morocco 1-1; 2026-06-19 Haiti 3-0</t>
  </si>
  <si>
    <t xml:space="preserve">2026-05-26 Burundi 5-0; 2026-06-02 Madagascar 4-0; 2026-06-07 Norway 1-1; 2026-06-13 Brazil 1-1; 2026-06-19 Scotland 1-0</t>
  </si>
  <si>
    <t xml:space="preserve">2026-03-31 Iceland 1-1; 2026-06-02 New Zealand 4-0; 2026-06-05 Peru 1-2; 2026-06-13 Scotland 0-1; 2026-06-19 Brazil 0-3</t>
  </si>
  <si>
    <t xml:space="preserve">2026-03-31 Norway 0-0; 2026-05-31 Jordan 4-1; 2026-06-06 Australia 1-1; 2026-06-13 Qatar 1-1; 2026-06-18 Bosnia and Herzegovina 4-1</t>
  </si>
  <si>
    <t xml:space="preserve">2026-03-31 Tunisia 0-0; 2026-06-01 Uzbekistan 2-0; 2026-06-05 Republic of Ireland 1-1; 2026-06-12 Bosnia and Herzegovina 1-1; 2026-06-18 Qatar 6-0</t>
  </si>
  <si>
    <t xml:space="preserve">2026-03-31 Italy 1-1; 2026-05-29 North Macedonia 0-0; 2026-06-06 Panama 1-1; 2026-06-12 Canada 1-1; 2026-06-18 Switzerland 1-4</t>
  </si>
  <si>
    <t xml:space="preserve">2025-12-07 Tunisia 0-3; 2026-05-28 Republic of Ireland 0-1; 2026-06-06 El Salvador 0-0; 2026-06-13 Switzerland 1-1; 2026-06-18 Canada 0-6</t>
  </si>
  <si>
    <t xml:space="preserve">2026-03-31 Denmark 2-2; 2026-05-31 Kosovo 2-1; 2026-06-04 Guatemala 5-1; 2026-06-11 South Korea 1-2; 2026-06-18 South Africa 1-1</t>
  </si>
  <si>
    <t xml:space="preserve">2026-05-22 Ghana 2-0; 2026-05-30 Australia 1-0; 2026-06-04 Serbia 5-1; 2026-06-11 South Africa 2-0; 2026-06-18 South Korea 1-0</t>
  </si>
  <si>
    <t xml:space="preserve">2026-03-31 Panama 1-2; 2026-05-29 Nicaragua 0-0; 2026-06-06 Jamaica 1-0; 2026-06-11 Mexico 0-2; 2026-06-18 Czech Republic 1-1</t>
  </si>
  <si>
    <t xml:space="preserve">2026-03-31 Austria 0-1; 2026-05-30 Trinidad and Tobago 5-0; 2026-06-03 El Salvador 1-0; 2026-06-11 Czech Republic 2-1; 2026-06-18 Mexico 0-1</t>
  </si>
  <si>
    <t xml:space="preserve">2026-03-31 Australia 1-5; 2026-05-30 Scotland 1-4; 2026-06-06 Aruba 4-0; 2026-06-14 Germany 1-7; 2026-06-20 Ecuador 0-0</t>
  </si>
  <si>
    <t xml:space="preserve">2026-03-28 South Korea 4-0; 2026-03-31 Scotland 1-0; 2026-06-04 France 2-1; 2026-06-14 Ecuador 1-0; 2026-06-20 Germany 1-2</t>
  </si>
  <si>
    <t xml:space="preserve">2026-03-31 Netherlands 1-1; 2026-05-30 Saudi Arabia 2-1; 2026-06-07 Guatemala 3-0; 2026-06-14 Ivory Coast 0-1; 2026-06-20 Curaçao 0-0</t>
  </si>
  <si>
    <t xml:space="preserve">2026-03-30 Ghana 2-1; 2026-05-31 Finland 4-0; 2026-06-06 United States 2-1; 2026-06-14 Curaçao 7-1; 2026-06-20 Ivory Coast 2-1</t>
  </si>
  <si>
    <t xml:space="preserve">2026-03-28 Scotland 1-0; 2026-03-31 England 1-0; 2026-05-31 Iceland 1-0; 2026-06-14 Netherlands 2-2; 2026-06-20 Tunisia 4-0</t>
  </si>
  <si>
    <t xml:space="preserve">2026-03-31 Poland 3-2; 2026-06-01 Norway 1-3; 2026-06-04 Greece 2-2; 2026-06-14 Tunisia 5-1; 2026-06-20 Netherlands 1-5</t>
  </si>
  <si>
    <t xml:space="preserve">2026-03-31 Canada 0-0; 2026-06-01 Austria 0-1; 2026-06-06 Belgium 0-5; 2026-06-14 Sweden 1-5; 2026-06-20 Japan 0-4</t>
  </si>
  <si>
    <t xml:space="preserve">2026-03-31 Ecuador 1-1; 2026-06-03 Algeria 0-1; 2026-06-08 Uzbekistan 2-1; 2026-06-14 Japan 2-2; 2026-06-20 Sweden 5-1</t>
  </si>
  <si>
    <t xml:space="preserve">2026-03-31 Kosovo 1-0; 2026-06-01 North Macedonia 4-0; 2026-06-06 Venezuela 2-1; 2026-06-13 Australia 0-2; 2026-06-19 Paraguay 0-1</t>
  </si>
  <si>
    <t xml:space="preserve">2026-03-31 Portugal 0-2; 2026-05-31 Senegal 3-2; 2026-06-06 Germany 1-2; 2026-06-12 Paraguay 4-1; 2026-06-19 Australia 2-0</t>
  </si>
  <si>
    <t xml:space="preserve">2026-03-27 Greece 1-0; 2026-03-31 Morocco 1-2; 2026-06-05 Nicaragua 4-0; 2026-06-12 United States 1-4; 2026-06-19 Turkey 1-0</t>
  </si>
  <si>
    <t xml:space="preserve">2026-03-31 Curaçao 5-1; 2026-05-30 Mexico 0-1; 2026-06-06 Switzerland 1-1; 2026-06-13 Turkey 2-0; 2026-06-19 United States 0-2</t>
  </si>
  <si>
    <t xml:space="preserve">2026-03-31 Switzerland 0-0; 2026-06-01 Sweden 3-1; 2026-06-07 Morocco 1-1; 2026-06-16 Iraq 4-1; 2026-06-22 Senegal 3-2</t>
  </si>
  <si>
    <t xml:space="preserve">2026-03-29 Colombia 3-1; 2026-06-04 Ivory Coast 1-2; 2026-06-08 Northern Ireland 3-1; 2026-06-16 Senegal 3-1; 2026-06-22 Iraq 3-0</t>
  </si>
  <si>
    <t xml:space="preserve">2026-03-31 Gambia 3-1; 2026-05-31 United States 2-3; 2026-06-09 Saudi Arabia 0-0; 2026-06-16 France 1-3; 2026-06-22 Norway 2-3</t>
  </si>
  <si>
    <t xml:space="preserve">2026-05-29 Andorra 1-0; 2026-06-04 Spain 1-1; 2026-06-09 Venezuela 0-2; 2026-06-16 Norway 1-4; 2026-06-22 France 0-3</t>
  </si>
  <si>
    <t xml:space="preserve">2026-03-31 Spain 0-0; 2026-05-28 Russia 1-0; 2026-06-06 Brazil 1-2; 2026-06-15 Belgium 1-1; 2026-06-21 New Zealand 3-1</t>
  </si>
  <si>
    <t xml:space="preserve">2026-03-31 Costa Rica 5-0; 2026-05-29 Gambia 3-1; 2026-06-04 Mali 2-0; 2026-06-15 New Zealand 2-2; 2026-06-21 Belgium 0-0</t>
  </si>
  <si>
    <t xml:space="preserve">2026-03-30 Chile 4-1; 2026-06-02 Haiti 0-4; 2026-06-06 England 0-1; 2026-06-15 Iran 2-2; 2026-06-21 Egypt 1-3</t>
  </si>
  <si>
    <t xml:space="preserve">2026-03-31 Mexico 1-1; 2026-06-02 Croatia 2-0; 2026-06-06 Tunisia 5-0; 2026-06-15 Egypt 1-1; 2026-06-21 Iran 0-0</t>
  </si>
  <si>
    <t xml:space="preserve">2026-03-30 Finland 1-1; 2026-05-31 Serbia 3-0; 2026-06-06 Bermuda 0-3; 2026-06-15 Spain 0-0; 2026-06-21 Uruguay 2-2</t>
  </si>
  <si>
    <t xml:space="preserve">2026-05-30 Ecuador 1-2; 2026-06-05 Puerto Rico 3-0; 2026-06-09 Senegal 0-0; 2026-06-15 Uruguay 1-1; 2026-06-21 Spain 0-4</t>
  </si>
  <si>
    <t xml:space="preserve">2025-11-18 United States 1-5; 2026-03-27 England 1-1; 2026-03-31 Algeria 0-0; 2026-06-15 Saudi Arabia 1-1; 2026-06-21 Cape Verde 2-2</t>
  </si>
  <si>
    <t xml:space="preserve">2026-03-31 Egypt 0-0; 2026-06-04 Iraq 1-1; 2026-06-08 Peru 3-1; 2026-06-15 Cape Verde 0-0; 2026-06-21 Saudi Arabia 4-0</t>
  </si>
  <si>
    <t xml:space="preserve">2026-05-31 Brazil 2-6; 2026-06-03 Dominican Republic 4-2; 2026-06-06 Bosnia and Herzegovina 1-1; 2026-06-17 Ghana 0-1; 2026-06-23 Croatia 0-1</t>
  </si>
  <si>
    <t xml:space="preserve">2026-03-31 Japan 0-1; 2026-06-06 New Zealand 1-0; 2026-06-10 Costa Rica 3-0; 2026-06-17 Croatia 4-2; 2026-06-23 Ghana 0-0</t>
  </si>
  <si>
    <t xml:space="preserve">2026-03-31 Brazil 1-3; 2026-06-02 Belgium 0-2; 2026-06-07 Slovenia 2-1; 2026-06-17 England 2-4; 2026-06-23 Panama 1-0</t>
  </si>
  <si>
    <t xml:space="preserve">2026-03-30 Germany 1-2; 2026-05-22 Mexico 0-2; 2026-06-02 Wales 1-1; 2026-06-17 Panama 1-0; 2026-06-23 England 0-0</t>
  </si>
  <si>
    <t xml:space="preserve">2026-03-31 Uruguay 0-0; 2026-06-03 Netherlands 1-0; 2026-06-10 Bolivia 4-0; 2026-06-16 Argentina 0-3; 2026-06-22 Jordan 2-1</t>
  </si>
  <si>
    <t xml:space="preserve">2026-03-27 Ghana 5-1; 2026-03-31 South Korea 1-0; 2026-06-01 Tunisia 1-0; 2026-06-16 Jordan 3-1; 2026-06-22 Argentina 0-2</t>
  </si>
  <si>
    <t xml:space="preserve">2026-03-31 Nigeria 2-2; 2026-05-31 Switzerland 1-4; 2026-06-07 Colombia 0-2; 2026-06-16 Austria 1-3; 2026-06-22 Algeria 1-2</t>
  </si>
  <si>
    <t xml:space="preserve">2026-03-31 Zambia 5-0; 2026-06-06 Honduras 2-0; 2026-06-09 Iceland 3-0; 2026-06-16 Algeria 3-0; 2026-06-22 Austria 2-0</t>
  </si>
  <si>
    <t xml:space="preserve">2026-03-29 France 1-3; 2026-06-01 Costa Rica 3-1; 2026-06-07 Jordan 2-0; 2026-06-17 Uzbekistan 3-1; 2026-06-23 DR Congo 1-0</t>
  </si>
  <si>
    <t xml:space="preserve">2026-03-31 United States 2-0; 2026-06-06 Chile 2-1; 2026-06-10 Nigeria 2-1; 2026-06-17 DR Congo 1-1; 2026-06-23 Uzbekistan 5-0</t>
  </si>
  <si>
    <t xml:space="preserve">2026-03-31 Jamaica 1-0; 2026-06-03 Denmark 0-0; 2026-06-09 Chile 1-2; 2026-06-17 Portugal 1-1; 2026-06-23 Colombia 0-1</t>
  </si>
  <si>
    <t xml:space="preserve">2026-03-30 Venezuela 0-0; 2026-06-01 Canada 0-2; 2026-06-08 Netherlands 1-2; 2026-06-17 Colombia 1-3; 2026-06-23 Portugal 0-5</t>
  </si>
  <si>
    <t xml:space="preserve">2026-05-29 Nicaragua 0-0; 2026-06-06 Jamaica 1-0; 2026-06-11 Mexico 0-2; 2026-06-18 Czech Republic 1-1; 2026-06-24 South Korea 1-0</t>
  </si>
  <si>
    <t xml:space="preserve">2026-06-01 Uzbekistan 2-0; 2026-06-05 Republic of Ireland 1-1; 2026-06-12 Bosnia and Herzegovina 1-1; 2026-06-18 Qatar 6-0; 2026-06-24 Switzerland 1-2</t>
  </si>
  <si>
    <t xml:space="preserve">2026-05-31 Finland 4-0; 2026-06-06 United States 2-1; 2026-06-14 Curaçao 7-1; 2026-06-20 Ivory Coast 2-1; 2026-06-25 Ecuador 1-2</t>
  </si>
  <si>
    <t xml:space="preserve">2026-03-31 Morocco 1-2; 2026-06-05 Nicaragua 4-0; 2026-06-12 United States 1-4; 2026-06-19 Turkey 1-0; 2026-06-25 Australia 0-0</t>
  </si>
  <si>
    <t xml:space="preserve">2026-06-03 Algeria 0-1; 2026-06-08 Uzbekistan 2-1; 2026-06-14 Japan 2-2; 2026-06-20 Sweden 5-1; 2026-06-25 Tunisia 3-1</t>
  </si>
  <si>
    <t xml:space="preserve">2026-06-02 Madagascar 4-0; 2026-06-07 Norway 1-1; 2026-06-13 Brazil 1-1; 2026-06-19 Scotland 1-0; 2026-06-24 Haiti 4-2</t>
  </si>
  <si>
    <t xml:space="preserve">2026-05-31 Panama 6-2; 2026-06-06 Egypt 2-1; 2026-06-13 Morocco 1-1; 2026-06-19 Haiti 3-0; 2026-06-24 Scotland 3-0</t>
  </si>
  <si>
    <t xml:space="preserve">2026-03-31 England 1-0; 2026-05-31 Iceland 1-0; 2026-06-14 Netherlands 2-2; 2026-06-20 Tunisia 4-0; 2026-06-25 Sweden 1-1</t>
  </si>
  <si>
    <t xml:space="preserve">2026-06-04 Ivory Coast 1-2; 2026-06-08 Northern Ireland 3-1; 2026-06-16 Senegal 3-1; 2026-06-22 Iraq 3-0; 2026-06-26 Norway 4-1</t>
  </si>
  <si>
    <t xml:space="preserve">2026-06-01 Norway 1-3; 2026-06-04 Greece 2-2; 2026-06-14 Tunisia 5-1; 2026-06-20 Netherlands 1-5; 2026-06-25 Japan 1-1</t>
  </si>
  <si>
    <t xml:space="preserve">2026-03-31 Scotland 1-0; 2026-06-04 France 2-1; 2026-06-14 Ecuador 1-0; 2026-06-20 Germany 1-2; 2026-06-25 Curaçao 2-0</t>
  </si>
  <si>
    <t xml:space="preserve">2026-06-01 Sweden 3-1; 2026-06-07 Morocco 1-1; 2026-06-16 Iraq 4-1; 2026-06-22 Senegal 3-2; 2026-06-26 France 1-4</t>
  </si>
  <si>
    <t xml:space="preserve">2026-05-30 Australia 1-0; 2026-06-04 Serbia 5-1; 2026-06-11 South Africa 2-0; 2026-06-18 South Korea 1-0; 2026-06-24 Czech Republic 3-0</t>
  </si>
  <si>
    <t xml:space="preserve">2026-05-30 Saudi Arabia 2-1; 2026-06-07 Guatemala 3-0; 2026-06-14 Ivory Coast 0-1; 2026-06-20 Curaçao 0-0; 2026-06-25 Germany 2-1</t>
  </si>
  <si>
    <t xml:space="preserve">2026-06-06 New Zealand 1-0; 2026-06-10 Costa Rica 3-0; 2026-06-17 Croatia 4-2; 2026-06-23 Ghana 0-0; 2026-06-27 Panama 2-0</t>
  </si>
  <si>
    <t xml:space="preserve">2026-06-03 Denmark 0-0; 2026-06-09 Chile 1-2; 2026-06-17 Portugal 1-1; 2026-06-23 Colombia 0-1; 2026-06-27 Uzbekistan 3-1</t>
  </si>
  <si>
    <t xml:space="preserve">2026-05-31 Senegal 3-2; 2026-06-06 Germany 1-2; 2026-06-12 Paraguay 4-1; 2026-06-19 Australia 2-0; 2026-06-25 Turkey 2-3</t>
  </si>
  <si>
    <t xml:space="preserve">2026-05-29 North Macedonia 0-0; 2026-06-06 Panama 1-1; 2026-06-12 Canada 1-1; 2026-06-18 Switzerland 1-4; 2026-06-24 Qatar 3-1</t>
  </si>
  <si>
    <t xml:space="preserve">2026-06-02 Croatia 2-0; 2026-06-06 Tunisia 5-0; 2026-06-15 Egypt 1-1; 2026-06-21 Iran 0-0; 2026-06-26 New Zealand 5-1</t>
  </si>
  <si>
    <t xml:space="preserve">2026-05-31 United States 2-3; 2026-06-09 Saudi Arabia 0-0; 2026-06-16 France 1-3; 2026-06-22 Norway 2-3; 2026-06-26 Iraq 5-0</t>
  </si>
  <si>
    <t xml:space="preserve">2026-06-06 Chile 2-1; 2026-06-10 Nigeria 2-1; 2026-06-17 DR Congo 1-1; 2026-06-23 Uzbekistan 5-0; 2026-06-27 Colombia 0-0</t>
  </si>
  <si>
    <t xml:space="preserve">2026-06-02 Belgium 0-2; 2026-06-07 Slovenia 2-1; 2026-06-17 England 2-4; 2026-06-23 Panama 1-0; 2026-06-27 Ghana 2-1</t>
  </si>
  <si>
    <t xml:space="preserve">2026-06-04 Iraq 1-1; 2026-06-08 Peru 3-1; 2026-06-15 Cape Verde 0-0; 2026-06-21 Saudi Arabia 4-0; 2026-06-26 Uruguay 1-0</t>
  </si>
  <si>
    <t xml:space="preserve">2026-03-31 South Korea 1-0; 2026-06-01 Tunisia 1-0; 2026-06-16 Jordan 3-1; 2026-06-22 Argentina 0-2; 2026-06-27 Algeria 3-3</t>
  </si>
  <si>
    <t xml:space="preserve">2026-05-31 Jordan 4-1; 2026-06-06 Australia 1-1; 2026-06-13 Qatar 1-1; 2026-06-18 Bosnia and Herzegovina 4-1; 2026-06-24 Canada 2-1</t>
  </si>
  <si>
    <t xml:space="preserve">2026-06-03 Netherlands 1-0; 2026-06-10 Bolivia 4-0; 2026-06-16 Argentina 0-3; 2026-06-22 Jordan 2-1; 2026-06-27 Austria 3-3</t>
  </si>
  <si>
    <t xml:space="preserve">2026-06-06 Honduras 2-0; 2026-06-09 Iceland 3-0; 2026-06-16 Algeria 3-0; 2026-06-22 Austria 2-0; 2026-06-27 Jordan 3-1</t>
  </si>
  <si>
    <t xml:space="preserve">2026-05-31 Serbia 3-0; 2026-06-06 Bermuda 0-3; 2026-06-15 Spain 0-0; 2026-06-21 Uruguay 2-2; 2026-06-26 Saudi Arabia 0-0</t>
  </si>
  <si>
    <t xml:space="preserve">2026-06-01 Costa Rica 3-1; 2026-06-07 Jordan 2-0; 2026-06-17 Uzbekistan 3-1; 2026-06-23 DR Congo 1-0; 2026-06-27 Portugal 0-0</t>
  </si>
  <si>
    <t xml:space="preserve">2026-05-22 Mexico 0-2; 2026-06-02 Wales 1-1; 2026-06-17 Panama 1-0; 2026-06-23 England 0-0; 2026-06-27 Croatia 1-2</t>
  </si>
  <si>
    <t xml:space="preserve">2026-05-30 Mexico 0-1; 2026-06-06 Switzerland 1-1; 2026-06-13 Turkey 2-0; 2026-06-19 United States 0-2; 2026-06-25 Paraguay 0-0</t>
  </si>
  <si>
    <t xml:space="preserve">2026-05-28 Russia 1-0; 2026-06-06 Brazil 1-2; 2026-06-15 Belgium 1-1; 2026-06-21 New Zealand 3-1; 2026-06-26 Iran 1-1</t>
  </si>
  <si>
    <t xml:space="preserve">2026-06-05 Nicaragua 4-0; 2026-06-12 United States 1-4; 2026-06-19 Turkey 1-0; 2026-06-25 Australia 0-0; 2026-06-29 Germany 1-1</t>
  </si>
  <si>
    <t xml:space="preserve">2026-06-08 Northern Ireland 3-1; 2026-06-16 Senegal 3-1; 2026-06-22 Iraq 3-0; 2026-06-26 Norway 4-1; 2026-06-30 Sweden 3-0</t>
  </si>
  <si>
    <t xml:space="preserve">2026-06-05 Republic of Ireland 1-1; 2026-06-12 Bosnia and Herzegovina 1-1; 2026-06-18 Qatar 6-0; 2026-06-24 Switzerland 1-2; 2026-06-28 South Africa 1-0</t>
  </si>
  <si>
    <t xml:space="preserve">2026-06-07 Norway 1-1; 2026-06-13 Brazil 1-1; 2026-06-19 Scotland 1-0; 2026-06-24 Haiti 4-2; 2026-06-29 Netherlands 1-1</t>
  </si>
  <si>
    <t xml:space="preserve">2026-06-06 Egypt 2-1; 2026-06-13 Morocco 1-1; 2026-06-19 Haiti 3-0; 2026-06-24 Scotland 3-0; 2026-06-29 Japan 2-1</t>
  </si>
  <si>
    <t xml:space="preserve">2026-06-07 Morocco 1-1; 2026-06-16 Iraq 4-1; 2026-06-22 Senegal 3-2; 2026-06-26 France 1-4; 2026-06-30 Ivory Coast 2-1</t>
  </si>
  <si>
    <t xml:space="preserve">2026-06-04 Serbia 5-1; 2026-06-11 South Africa 2-0; 2026-06-18 South Korea 1-0; 2026-06-24 Czech Republic 3-0; 2026-06-30 Ecuador 2-0</t>
  </si>
  <si>
    <t xml:space="preserve">2026-06-10 Costa Rica 3-0; 2026-06-17 Croatia 4-2; 2026-06-23 Ghana 0-0; 2026-06-27 Panama 2-0; 2026-07-01 DR Congo 2-1</t>
  </si>
  <si>
    <t xml:space="preserve">2026-06-10 Nigeria 2-1; 2026-06-17 DR Congo 1-1; 2026-06-23 Uzbekistan 5-0; 2026-06-27 Colombia 0-0; 2026-07-02 Croatia 2-1</t>
  </si>
  <si>
    <t xml:space="preserve">2026-06-08 Peru 3-1; 2026-06-15 Cape Verde 0-0; 2026-06-21 Saudi Arabia 4-0; 2026-06-26 Uruguay 1-0; 2026-07-02 Austria 3-0</t>
  </si>
  <si>
    <t xml:space="preserve">2026-06-06 Germany 1-2; 2026-06-12 Paraguay 4-1; 2026-06-19 Australia 2-0; 2026-06-25 Turkey 2-3; 2026-07-01 Bosnia and Herzegovina 2-0</t>
  </si>
  <si>
    <t xml:space="preserve">2026-06-06 Tunisia 5-0; 2026-06-15 Egypt 1-1; 2026-06-21 Iran 0-0; 2026-06-26 New Zealand 5-1; 2026-07-01 Senegal 3-2</t>
  </si>
  <si>
    <t xml:space="preserve">2026-06-09 Iceland 3-0; 2026-06-16 Algeria 3-0; 2026-06-22 Austria 2-0; 2026-06-27 Jordan 3-1; 2026-07-03 Cape Verde 3-2</t>
  </si>
  <si>
    <t xml:space="preserve">2026-06-06 Brazil 1-2; 2026-06-15 Belgium 1-1; 2026-06-21 New Zealand 3-1; 2026-06-26 Iran 1-1; 2026-07-03 Australia 1-1</t>
  </si>
  <si>
    <t xml:space="preserve">2026-06-06 Australia 1-1; 2026-06-13 Qatar 1-1; 2026-06-18 Bosnia and Herzegovina 4-1; 2026-06-24 Canada 2-1; 2026-07-02 Algeria 2-0</t>
  </si>
  <si>
    <t xml:space="preserve">2026-06-07 Jordan 2-0; 2026-06-17 Uzbekistan 3-1; 2026-06-23 DR Congo 1-0; 2026-06-27 Portugal 0-0; 2026-07-03 Ghana 1-0</t>
  </si>
  <si>
    <t xml:space="preserve">2026-06-16 Senegal 3-1; 2026-06-22 Iraq 3-0; 2026-06-26 Norway 4-1; 2026-06-30 Sweden 3-0; 2026-07-04 Paraguay 1-0</t>
  </si>
  <si>
    <t xml:space="preserve">2026-06-13 Brazil 1-1; 2026-06-19 Scotland 1-0; 2026-06-24 Haiti 4-2; 2026-06-29 Netherlands 1-1; 2026-07-04 Canada 3-0</t>
  </si>
  <si>
    <t xml:space="preserve">2026-06-15 Cape Verde 0-0; 2026-06-21 Saudi Arabia 4-0; 2026-06-26 Uruguay 1-0; 2026-07-02 Austria 3-0; 2026-07-06 Portugal 1-0</t>
  </si>
  <si>
    <t xml:space="preserve">2026-06-15 Egypt 1-1; 2026-06-21 Iran 0-0; 2026-06-26 New Zealand 5-1; 2026-07-01 Senegal 3-2; 2026-07-06 United States 4-1</t>
  </si>
  <si>
    <t xml:space="preserve">2026-06-16 Iraq 4-1; 2026-06-22 Senegal 3-2; 2026-06-26 France 1-4; 2026-06-30 Ivory Coast 2-1; 2026-07-05 Brazil 2-1</t>
  </si>
  <si>
    <t xml:space="preserve">2026-06-17 Croatia 4-2; 2026-06-23 Ghana 0-0; 2026-06-27 Panama 2-0; 2026-07-01 DR Congo 2-1; 2026-07-05 Mexico 3-2</t>
  </si>
  <si>
    <t xml:space="preserve">2026-06-16 Algeria 3-0; 2026-06-22 Austria 2-0; 2026-06-27 Jordan 3-1; 2026-07-03 Cape Verde 3-2; 2026-07-07 Egypt 3-2</t>
  </si>
  <si>
    <t xml:space="preserve">2026-06-13 Qatar 1-1; 2026-06-18 Bosnia and Herzegovina 4-1; 2026-06-24 Canada 2-1; 2026-07-02 Algeria 2-0; 2026-07-07 Colombia 0-0</t>
  </si>
  <si>
    <t xml:space="preserve">2026-06-22 Iraq 3-0; 2026-06-26 Norway 4-1; 2026-06-30 Sweden 3-0; 2026-07-04 Paraguay 1-0; 2026-07-09 Morocco 2-0</t>
  </si>
  <si>
    <t xml:space="preserve">2026-06-21 Saudi Arabia 4-0; 2026-06-26 Uruguay 1-0; 2026-07-02 Austria 3-0; 2026-07-06 Portugal 1-0; 2026-07-10 Belgium 2-1</t>
  </si>
  <si>
    <t xml:space="preserve">2026-06-23 Ghana 0-0; 2026-06-27 Panama 2-0; 2026-07-01 DR Congo 2-1; 2026-07-05 Mexico 3-2; 2026-07-11 Norway 2-1</t>
  </si>
  <si>
    <t xml:space="preserve">2026-06-22 Austria 2-0; 2026-06-27 Jordan 3-1; 2026-07-03 Cape Verde 3-2; 2026-07-07 Egypt 3-2; 2026-07-11 Switzerland 3-1</t>
  </si>
  <si>
    <t xml:space="preserve">2026-06-26 Norway 4-1; 2026-06-30 Sweden 3-0; 2026-07-04 Paraguay 1-0; 2026-07-09 Morocco 2-0; 2026-07-14 Spain 0-2</t>
  </si>
  <si>
    <t xml:space="preserve">2026-06-27 Panama 2-0; 2026-07-01 DR Congo 2-1; 2026-07-05 Mexico 3-2; 2026-07-11 Norway 2-1; 2026-07-15 Argentina 1-2</t>
  </si>
  <si>
    <t xml:space="preserve">2026-06-26 Uruguay 1-0; 2026-07-02 Austria 3-0; 2026-07-06 Portugal 1-0; 2026-07-10 Belgium 2-1; 2026-07-14 France 2-0</t>
  </si>
  <si>
    <t xml:space="preserve">2026-06-27 Jordan 3-1; 2026-07-03 Cape Verde 3-2; 2026-07-07 Egypt 3-2; 2026-07-11 Switzerland 3-1; 2026-07-15 England 2-1</t>
  </si>
  <si>
    <t xml:space="preserve">Method notes (X4 and X6 only):</t>
  </si>
  <si>
    <t xml:space="preserve">Source: martj42/international_results (github.com/martj42/international_results) - all senior men's internationals through Oct 2026; shootout goals excluded, extra-time goals included.</t>
  </si>
  <si>
    <t xml:space="preserve">Window: each team's 5 most recent completed matches strictly before kickoff date, any competition, current match excluded; tournament matches already played count for later rounds.</t>
  </si>
  <si>
    <t xml:space="preserve">X4 = avg goals conceded (A, prev 5) - avg goals conceded (B, prev 5). Negative favours Team A. X6 = clean-sheet rate (A) - clean-sheet rate (B); clean sheet = 0 goals conceded. Positive favours Team A.</t>
  </si>
  <si>
    <t xml:space="preserve">Master columns J and L link to this sheet (J = X4, L = X6). No other master columns were changed.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</si>
</sst>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"/>
    <numFmt numFmtId="167" formatCode="0"/>
  </numFmts>
  <fonts count="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6324F"/>
        <bgColor rgb="FF1F3864"/>
      </patternFill>
    </fill>
    <fill>
      <patternFill patternType="solid">
        <fgColor rgb="FFF7F9FC"/>
        <bgColor rgb="FFF2F3F4"/>
      </patternFill>
    </fill>
    <fill>
      <patternFill patternType="solid">
        <fgColor rgb="FFEAF2F8"/>
        <bgColor rgb="FFE8F6F3"/>
      </patternFill>
    </fill>
    <fill>
      <patternFill patternType="solid">
        <fgColor rgb="FFE8F6F3"/>
        <bgColor rgb="FFEAF2F8"/>
      </patternFill>
    </fill>
    <fill>
      <patternFill patternType="solid">
        <fgColor rgb="FFFCF3CF"/>
        <bgColor rgb="FFFDEDEC"/>
      </patternFill>
    </fill>
    <fill>
      <patternFill patternType="solid">
        <fgColor rgb="FFF5EEF8"/>
        <bgColor rgb="FFF2F3F4"/>
      </patternFill>
    </fill>
    <fill>
      <patternFill patternType="solid">
        <fgColor rgb="FFFDEDEC"/>
        <bgColor rgb="FFF5EEF8"/>
      </patternFill>
    </fill>
    <fill>
      <patternFill patternType="solid">
        <fgColor rgb="FF1F3864"/>
        <bgColor rgb="FF16324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7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7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8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6324F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E8F6F3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ont>
        <b val="1"/>
      </font>
      <fill>
        <patternFill>
          <bgColor rgb="FFD5F5E3"/>
        </patternFill>
      </fill>
    </dxf>
    <dxf>
      <font>
        <b val="1"/>
      </font>
      <fill>
        <patternFill>
          <bgColor rgb="FFFCF3CF"/>
        </patternFill>
      </fill>
    </dxf>
    <dxf>
      <fill>
        <patternFill>
          <bgColor rgb="FFF2F3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7F9FC"/>
      <rgbColor rgb="FF808080"/>
      <rgbColor rgb="FF9999FF"/>
      <rgbColor rgb="FF993366"/>
      <rgbColor rgb="FFFCF3CF"/>
      <rgbColor rgb="FFE8F6F3"/>
      <rgbColor rgb="FF660066"/>
      <rgbColor rgb="FFFF8080"/>
      <rgbColor rgb="FF0066CC"/>
      <rgbColor rgb="FFF5EE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D5F5E3"/>
      <rgbColor rgb="FFFDEDEC"/>
      <rgbColor rgb="FF99CCFF"/>
      <rgbColor rgb="FFFF99CC"/>
      <rgbColor rgb="FFCC99FF"/>
      <rgbColor rgb="FFF2F3F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RulesTable" displayName="DataRulesTable" ref="A1:B12" headerRowCount="1" totalsRowCount="0" totalsRowShown="0">
  <tableColumns count="2">
    <tableColumn id="1" name="Rule"/>
    <tableColumn id="2" name="Agreed definition"/>
  </tableColumns>
</table>
</file>

<file path=xl/tables/table2.xml><?xml version="1.0" encoding="utf-8"?>
<table xmlns="http://schemas.openxmlformats.org/spreadsheetml/2006/main" id="2" name="MasterMatchesTable" displayName="MasterMatchesTable" ref="A1:T105" headerRowCount="1" totalsRowCount="0" totalsRowShown="0">
  <tableColumns count="20">
    <tableColumn id="1" name="match_id"/>
    <tableColumn id="2" name="match_date"/>
    <tableColumn id="3" name="stage"/>
    <tableColumn id="4" name="group"/>
    <tableColumn id="5" name="team_a"/>
    <tableColumn id="6" name="team_b"/>
    <tableColumn id="7" name="fifa_rank_diff"/>
    <tableColumn id="8" name="elo_rating_diff"/>
    <tableColumn id="9" name="last5_avg_goals_scored_diff"/>
    <tableColumn id="10" name="last5_avg_goals_conceded_diff"/>
    <tableColumn id="11" name="last5_win_rate_diff"/>
    <tableColumn id="12" name="last5_clean_sheet_rate_diff"/>
    <tableColumn id="13" name="rest_days_diff"/>
    <tableColumn id="14" name="last5_opponent_strength_diff"/>
    <tableColumn id="15" name="team_a_goals"/>
    <tableColumn id="16" name="team_b_goals"/>
    <tableColumn id="17" name="result_note"/>
    <tableColumn id="18" name="goal_difference"/>
    <tableColumn id="19" name="collection_status"/>
    <tableColumn id="20" name="source_url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9"/>
    <col collapsed="false" customWidth="true" hidden="false" outlineLevel="0" max="6" min="5" style="0" width="22"/>
    <col collapsed="false" customWidth="true" hidden="false" outlineLevel="0" max="8" min="7" style="0" width="18"/>
    <col collapsed="false" customWidth="true" hidden="false" outlineLevel="0" max="10" min="9" style="0" width="25"/>
    <col collapsed="false" customWidth="true" hidden="false" outlineLevel="0" max="12" min="11" style="0" width="22"/>
    <col collapsed="false" customWidth="true" hidden="false" outlineLevel="0" max="14" min="13" style="0" width="19"/>
    <col collapsed="false" customWidth="true" hidden="false" outlineLevel="0" max="17" min="15" style="0" width="14"/>
    <col collapsed="false" customWidth="true" hidden="false" outlineLevel="0" max="18" min="18" style="0" width="15"/>
    <col collapsed="false" customWidth="true" hidden="false" outlineLevel="0" max="19" min="19" style="0" width="17"/>
    <col collapsed="false" customWidth="true" hidden="false" outlineLevel="0" max="20" min="20" style="0" width="42"/>
  </cols>
  <sheetData>
    <row r="1" customFormat="false" ht="6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48" hidden="false" customHeight="true" outlineLevel="0" collapsed="false">
      <c r="A2" s="2" t="n">
        <v>1</v>
      </c>
      <c r="B2" s="3" t="n">
        <v>46184</v>
      </c>
      <c r="C2" s="2" t="s">
        <v>20</v>
      </c>
      <c r="D2" s="2" t="s">
        <v>21</v>
      </c>
      <c r="E2" s="2" t="s">
        <v>22</v>
      </c>
      <c r="F2" s="2" t="s">
        <v>23</v>
      </c>
      <c r="G2" s="4"/>
      <c r="H2" s="4"/>
      <c r="I2" s="5"/>
      <c r="J2" s="5" t="n">
        <f aca="false">X4_X6_Audit!J2</f>
        <v>-0.6</v>
      </c>
      <c r="K2" s="6"/>
      <c r="L2" s="6" t="n">
        <f aca="false">X4_X6_Audit!O2</f>
        <v>0.2</v>
      </c>
      <c r="M2" s="7" t="n">
        <v>2</v>
      </c>
      <c r="N2" s="8" t="n">
        <v>-34</v>
      </c>
      <c r="O2" s="9" t="n">
        <v>2</v>
      </c>
      <c r="P2" s="9" t="n">
        <v>0</v>
      </c>
      <c r="Q2" s="9"/>
      <c r="R2" s="9" t="n">
        <f aca="false">O2-P2</f>
        <v>2</v>
      </c>
      <c r="S2" s="10" t="str">
        <f aca="false">IF(COUNTA(G2:N2)=0,"Not Started",IF(COUNTA(G2:N2)=8,"Complete","In Progress"))</f>
        <v>In Progress</v>
      </c>
      <c r="T2" s="11" t="s">
        <v>24</v>
      </c>
    </row>
    <row r="3" customFormat="false" ht="48" hidden="false" customHeight="true" outlineLevel="0" collapsed="false">
      <c r="A3" s="2" t="n">
        <v>2</v>
      </c>
      <c r="B3" s="3" t="n">
        <v>46184</v>
      </c>
      <c r="C3" s="2" t="s">
        <v>20</v>
      </c>
      <c r="D3" s="2" t="s">
        <v>21</v>
      </c>
      <c r="E3" s="2" t="s">
        <v>25</v>
      </c>
      <c r="F3" s="2" t="s">
        <v>26</v>
      </c>
      <c r="G3" s="4"/>
      <c r="H3" s="4"/>
      <c r="I3" s="5"/>
      <c r="J3" s="5" t="n">
        <f aca="false">X4_X6_Audit!J3</f>
        <v>-0.2</v>
      </c>
      <c r="K3" s="6"/>
      <c r="L3" s="6" t="n">
        <f aca="false">X4_X6_Audit!O3</f>
        <v>0.4</v>
      </c>
      <c r="M3" s="7" t="n">
        <v>1</v>
      </c>
      <c r="N3" s="8" t="n">
        <v>-23.6</v>
      </c>
      <c r="O3" s="9" t="n">
        <v>2</v>
      </c>
      <c r="P3" s="9" t="n">
        <v>1</v>
      </c>
      <c r="Q3" s="9"/>
      <c r="R3" s="9" t="n">
        <f aca="false">O3-P3</f>
        <v>1</v>
      </c>
      <c r="S3" s="10" t="str">
        <f aca="false">IF(COUNTA(G3:N3)=0,"Not Started",IF(COUNTA(G3:N3)=8,"Complete","In Progress"))</f>
        <v>In Progress</v>
      </c>
      <c r="T3" s="11" t="s">
        <v>24</v>
      </c>
    </row>
    <row r="4" customFormat="false" ht="48" hidden="false" customHeight="true" outlineLevel="0" collapsed="false">
      <c r="A4" s="2" t="n">
        <v>3</v>
      </c>
      <c r="B4" s="3" t="n">
        <v>46185</v>
      </c>
      <c r="C4" s="2" t="s">
        <v>20</v>
      </c>
      <c r="D4" s="2" t="s">
        <v>27</v>
      </c>
      <c r="E4" s="2" t="s">
        <v>28</v>
      </c>
      <c r="F4" s="2" t="s">
        <v>29</v>
      </c>
      <c r="G4" s="4"/>
      <c r="H4" s="4"/>
      <c r="I4" s="5"/>
      <c r="J4" s="5" t="n">
        <f aca="false">X4_X6_Audit!J4</f>
        <v>-0.2</v>
      </c>
      <c r="K4" s="6"/>
      <c r="L4" s="6" t="n">
        <f aca="false">X4_X6_Audit!O4</f>
        <v>0.4</v>
      </c>
      <c r="M4" s="7" t="n">
        <v>1</v>
      </c>
      <c r="N4" s="8" t="n">
        <v>30.4</v>
      </c>
      <c r="O4" s="9" t="n">
        <v>1</v>
      </c>
      <c r="P4" s="9" t="n">
        <v>1</v>
      </c>
      <c r="Q4" s="9"/>
      <c r="R4" s="9" t="n">
        <f aca="false">O4-P4</f>
        <v>0</v>
      </c>
      <c r="S4" s="10" t="str">
        <f aca="false">IF(COUNTA(G4:N4)=0,"Not Started",IF(COUNTA(G4:N4)=8,"Complete","In Progress"))</f>
        <v>In Progress</v>
      </c>
      <c r="T4" s="11" t="s">
        <v>24</v>
      </c>
    </row>
    <row r="5" customFormat="false" ht="48" hidden="false" customHeight="true" outlineLevel="0" collapsed="false">
      <c r="A5" s="2" t="n">
        <v>4</v>
      </c>
      <c r="B5" s="3" t="n">
        <v>46185</v>
      </c>
      <c r="C5" s="2" t="s">
        <v>20</v>
      </c>
      <c r="D5" s="2" t="s">
        <v>30</v>
      </c>
      <c r="E5" s="2" t="s">
        <v>31</v>
      </c>
      <c r="F5" s="2" t="s">
        <v>32</v>
      </c>
      <c r="G5" s="4"/>
      <c r="H5" s="4"/>
      <c r="I5" s="5"/>
      <c r="J5" s="5" t="n">
        <f aca="false">X4_X6_Audit!J5</f>
        <v>1.4</v>
      </c>
      <c r="K5" s="6"/>
      <c r="L5" s="6" t="n">
        <f aca="false">X4_X6_Audit!O5</f>
        <v>-0.4</v>
      </c>
      <c r="M5" s="7" t="n">
        <v>-1</v>
      </c>
      <c r="N5" s="8" t="n">
        <v>-32.2</v>
      </c>
      <c r="O5" s="9" t="n">
        <v>4</v>
      </c>
      <c r="P5" s="9" t="n">
        <v>1</v>
      </c>
      <c r="Q5" s="9"/>
      <c r="R5" s="9" t="n">
        <f aca="false">O5-P5</f>
        <v>3</v>
      </c>
      <c r="S5" s="10" t="str">
        <f aca="false">IF(COUNTA(G5:N5)=0,"Not Started",IF(COUNTA(G5:N5)=8,"Complete","In Progress"))</f>
        <v>In Progress</v>
      </c>
      <c r="T5" s="11" t="s">
        <v>24</v>
      </c>
    </row>
    <row r="6" customFormat="false" ht="48" hidden="false" customHeight="true" outlineLevel="0" collapsed="false">
      <c r="A6" s="2" t="n">
        <v>5</v>
      </c>
      <c r="B6" s="3" t="n">
        <v>46186</v>
      </c>
      <c r="C6" s="2" t="s">
        <v>20</v>
      </c>
      <c r="D6" s="2" t="s">
        <v>33</v>
      </c>
      <c r="E6" s="2" t="s">
        <v>34</v>
      </c>
      <c r="F6" s="2" t="s">
        <v>35</v>
      </c>
      <c r="G6" s="4"/>
      <c r="H6" s="4"/>
      <c r="I6" s="5"/>
      <c r="J6" s="5" t="n">
        <f aca="false">X4_X6_Audit!J6</f>
        <v>-0.2</v>
      </c>
      <c r="K6" s="6"/>
      <c r="L6" s="6" t="n">
        <f aca="false">X4_X6_Audit!O6</f>
        <v>0.2</v>
      </c>
      <c r="M6" s="7" t="n">
        <v>1</v>
      </c>
      <c r="N6" s="8" t="n">
        <v>31.6</v>
      </c>
      <c r="O6" s="9" t="n">
        <v>0</v>
      </c>
      <c r="P6" s="9" t="n">
        <v>1</v>
      </c>
      <c r="Q6" s="9"/>
      <c r="R6" s="9" t="n">
        <f aca="false">O6-P6</f>
        <v>-1</v>
      </c>
      <c r="S6" s="10" t="str">
        <f aca="false">IF(COUNTA(G6:N6)=0,"Not Started",IF(COUNTA(G6:N6)=8,"Complete","In Progress"))</f>
        <v>In Progress</v>
      </c>
      <c r="T6" s="11" t="s">
        <v>24</v>
      </c>
    </row>
    <row r="7" customFormat="false" ht="48" hidden="false" customHeight="true" outlineLevel="0" collapsed="false">
      <c r="A7" s="2" t="n">
        <v>6</v>
      </c>
      <c r="B7" s="3" t="n">
        <v>46186</v>
      </c>
      <c r="C7" s="2" t="s">
        <v>20</v>
      </c>
      <c r="D7" s="2" t="s">
        <v>30</v>
      </c>
      <c r="E7" s="2" t="s">
        <v>36</v>
      </c>
      <c r="F7" s="2" t="s">
        <v>37</v>
      </c>
      <c r="G7" s="4"/>
      <c r="H7" s="4"/>
      <c r="I7" s="5"/>
      <c r="J7" s="5" t="n">
        <f aca="false">X4_X6_Audit!J7</f>
        <v>0.6</v>
      </c>
      <c r="K7" s="6"/>
      <c r="L7" s="6" t="n">
        <f aca="false">X4_X6_Audit!O7</f>
        <v>-0.4</v>
      </c>
      <c r="M7" s="7" t="n">
        <v>0</v>
      </c>
      <c r="N7" s="8" t="n">
        <v>-14.4</v>
      </c>
      <c r="O7" s="9" t="n">
        <v>2</v>
      </c>
      <c r="P7" s="9" t="n">
        <v>0</v>
      </c>
      <c r="Q7" s="9"/>
      <c r="R7" s="9" t="n">
        <f aca="false">O7-P7</f>
        <v>2</v>
      </c>
      <c r="S7" s="10" t="str">
        <f aca="false">IF(COUNTA(G7:N7)=0,"Not Started",IF(COUNTA(G7:N7)=8,"Complete","In Progress"))</f>
        <v>In Progress</v>
      </c>
      <c r="T7" s="11" t="s">
        <v>24</v>
      </c>
    </row>
    <row r="8" customFormat="false" ht="48" hidden="false" customHeight="true" outlineLevel="0" collapsed="false">
      <c r="A8" s="2" t="n">
        <v>7</v>
      </c>
      <c r="B8" s="3" t="n">
        <v>46186</v>
      </c>
      <c r="C8" s="2" t="s">
        <v>20</v>
      </c>
      <c r="D8" s="2" t="s">
        <v>33</v>
      </c>
      <c r="E8" s="2" t="s">
        <v>38</v>
      </c>
      <c r="F8" s="2" t="s">
        <v>39</v>
      </c>
      <c r="G8" s="4"/>
      <c r="H8" s="4"/>
      <c r="I8" s="5"/>
      <c r="J8" s="5" t="n">
        <f aca="false">X4_X6_Audit!J8</f>
        <v>0.8</v>
      </c>
      <c r="K8" s="6"/>
      <c r="L8" s="6" t="n">
        <f aca="false">X4_X6_Audit!O8</f>
        <v>-0.4</v>
      </c>
      <c r="M8" s="7" t="n">
        <v>1</v>
      </c>
      <c r="N8" s="8" t="n">
        <v>-44.2</v>
      </c>
      <c r="O8" s="9" t="n">
        <v>1</v>
      </c>
      <c r="P8" s="9" t="n">
        <v>1</v>
      </c>
      <c r="Q8" s="9"/>
      <c r="R8" s="9" t="n">
        <f aca="false">O8-P8</f>
        <v>0</v>
      </c>
      <c r="S8" s="10" t="str">
        <f aca="false">IF(COUNTA(G8:N8)=0,"Not Started",IF(COUNTA(G8:N8)=8,"Complete","In Progress"))</f>
        <v>In Progress</v>
      </c>
      <c r="T8" s="11" t="s">
        <v>24</v>
      </c>
    </row>
    <row r="9" customFormat="false" ht="48" hidden="false" customHeight="true" outlineLevel="0" collapsed="false">
      <c r="A9" s="2" t="n">
        <v>8</v>
      </c>
      <c r="B9" s="3" t="n">
        <v>46186</v>
      </c>
      <c r="C9" s="2" t="s">
        <v>20</v>
      </c>
      <c r="D9" s="2" t="s">
        <v>27</v>
      </c>
      <c r="E9" s="2" t="s">
        <v>40</v>
      </c>
      <c r="F9" s="2" t="s">
        <v>41</v>
      </c>
      <c r="G9" s="4"/>
      <c r="H9" s="4"/>
      <c r="I9" s="5"/>
      <c r="J9" s="5" t="n">
        <f aca="false">X4_X6_Audit!J9</f>
        <v>-0.2</v>
      </c>
      <c r="K9" s="6"/>
      <c r="L9" s="6" t="n">
        <f aca="false">X4_X6_Audit!O9</f>
        <v>0</v>
      </c>
      <c r="M9" s="7" t="n">
        <v>0</v>
      </c>
      <c r="N9" s="8" t="n">
        <v>33.2</v>
      </c>
      <c r="O9" s="9" t="n">
        <v>1</v>
      </c>
      <c r="P9" s="9" t="n">
        <v>1</v>
      </c>
      <c r="Q9" s="9"/>
      <c r="R9" s="9" t="n">
        <f aca="false">O9-P9</f>
        <v>0</v>
      </c>
      <c r="S9" s="10" t="str">
        <f aca="false">IF(COUNTA(G9:N9)=0,"Not Started",IF(COUNTA(G9:N9)=8,"Complete","In Progress"))</f>
        <v>In Progress</v>
      </c>
      <c r="T9" s="11" t="s">
        <v>24</v>
      </c>
    </row>
    <row r="10" customFormat="false" ht="48" hidden="false" customHeight="true" outlineLevel="0" collapsed="false">
      <c r="A10" s="2" t="n">
        <v>9</v>
      </c>
      <c r="B10" s="3" t="n">
        <v>46187</v>
      </c>
      <c r="C10" s="2" t="s">
        <v>20</v>
      </c>
      <c r="D10" s="2" t="s">
        <v>42</v>
      </c>
      <c r="E10" s="2" t="s">
        <v>43</v>
      </c>
      <c r="F10" s="2" t="s">
        <v>44</v>
      </c>
      <c r="G10" s="4"/>
      <c r="H10" s="4"/>
      <c r="I10" s="5"/>
      <c r="J10" s="5" t="n">
        <f aca="false">X4_X6_Audit!J10</f>
        <v>0.2</v>
      </c>
      <c r="K10" s="6"/>
      <c r="L10" s="6" t="n">
        <f aca="false">X4_X6_Audit!O10</f>
        <v>0.2</v>
      </c>
      <c r="M10" s="7" t="n">
        <v>3</v>
      </c>
      <c r="N10" s="8" t="n">
        <v>-19.8</v>
      </c>
      <c r="O10" s="9" t="n">
        <v>1</v>
      </c>
      <c r="P10" s="9" t="n">
        <v>0</v>
      </c>
      <c r="Q10" s="9"/>
      <c r="R10" s="9" t="n">
        <f aca="false">O10-P10</f>
        <v>1</v>
      </c>
      <c r="S10" s="10" t="str">
        <f aca="false">IF(COUNTA(G10:N10)=0,"Not Started",IF(COUNTA(G10:N10)=8,"Complete","In Progress"))</f>
        <v>In Progress</v>
      </c>
      <c r="T10" s="11" t="s">
        <v>24</v>
      </c>
    </row>
    <row r="11" customFormat="false" ht="48" hidden="false" customHeight="true" outlineLevel="0" collapsed="false">
      <c r="A11" s="2" t="n">
        <v>10</v>
      </c>
      <c r="B11" s="3" t="n">
        <v>46187</v>
      </c>
      <c r="C11" s="2" t="s">
        <v>20</v>
      </c>
      <c r="D11" s="2" t="s">
        <v>42</v>
      </c>
      <c r="E11" s="2" t="s">
        <v>45</v>
      </c>
      <c r="F11" s="2" t="s">
        <v>46</v>
      </c>
      <c r="G11" s="4"/>
      <c r="H11" s="4"/>
      <c r="I11" s="5"/>
      <c r="J11" s="5" t="n">
        <f aca="false">X4_X6_Audit!J11</f>
        <v>-1.2</v>
      </c>
      <c r="K11" s="6"/>
      <c r="L11" s="6" t="n">
        <f aca="false">X4_X6_Audit!O11</f>
        <v>0</v>
      </c>
      <c r="M11" s="7" t="n">
        <v>0</v>
      </c>
      <c r="N11" s="8" t="n">
        <v>-39</v>
      </c>
      <c r="O11" s="9" t="n">
        <v>7</v>
      </c>
      <c r="P11" s="9" t="n">
        <v>1</v>
      </c>
      <c r="Q11" s="9"/>
      <c r="R11" s="9" t="n">
        <f aca="false">O11-P11</f>
        <v>6</v>
      </c>
      <c r="S11" s="10" t="str">
        <f aca="false">IF(COUNTA(G11:N11)=0,"Not Started",IF(COUNTA(G11:N11)=8,"Complete","In Progress"))</f>
        <v>In Progress</v>
      </c>
      <c r="T11" s="11" t="s">
        <v>24</v>
      </c>
    </row>
    <row r="12" customFormat="false" ht="48" hidden="false" customHeight="true" outlineLevel="0" collapsed="false">
      <c r="A12" s="2" t="n">
        <v>11</v>
      </c>
      <c r="B12" s="3" t="n">
        <v>46187</v>
      </c>
      <c r="C12" s="2" t="s">
        <v>20</v>
      </c>
      <c r="D12" s="2" t="s">
        <v>47</v>
      </c>
      <c r="E12" s="2" t="s">
        <v>48</v>
      </c>
      <c r="F12" s="2" t="s">
        <v>49</v>
      </c>
      <c r="G12" s="4"/>
      <c r="H12" s="4"/>
      <c r="I12" s="5"/>
      <c r="J12" s="5" t="n">
        <f aca="false">X4_X6_Audit!J12</f>
        <v>0.8</v>
      </c>
      <c r="K12" s="6"/>
      <c r="L12" s="6" t="n">
        <f aca="false">X4_X6_Audit!O12</f>
        <v>-0.8</v>
      </c>
      <c r="M12" s="7" t="n">
        <v>-8</v>
      </c>
      <c r="N12" s="8" t="n">
        <v>2.6</v>
      </c>
      <c r="O12" s="9" t="n">
        <v>2</v>
      </c>
      <c r="P12" s="9" t="n">
        <v>2</v>
      </c>
      <c r="Q12" s="9"/>
      <c r="R12" s="9" t="n">
        <f aca="false">O12-P12</f>
        <v>0</v>
      </c>
      <c r="S12" s="10" t="str">
        <f aca="false">IF(COUNTA(G12:N12)=0,"Not Started",IF(COUNTA(G12:N12)=8,"Complete","In Progress"))</f>
        <v>In Progress</v>
      </c>
      <c r="T12" s="11" t="s">
        <v>24</v>
      </c>
    </row>
    <row r="13" customFormat="false" ht="48" hidden="false" customHeight="true" outlineLevel="0" collapsed="false">
      <c r="A13" s="2" t="n">
        <v>12</v>
      </c>
      <c r="B13" s="3" t="n">
        <v>46187</v>
      </c>
      <c r="C13" s="2" t="s">
        <v>20</v>
      </c>
      <c r="D13" s="2" t="s">
        <v>47</v>
      </c>
      <c r="E13" s="2" t="s">
        <v>50</v>
      </c>
      <c r="F13" s="2" t="s">
        <v>51</v>
      </c>
      <c r="G13" s="4"/>
      <c r="H13" s="4"/>
      <c r="I13" s="5"/>
      <c r="J13" s="5" t="n">
        <f aca="false">X4_X6_Audit!J13</f>
        <v>0.4</v>
      </c>
      <c r="K13" s="6"/>
      <c r="L13" s="6" t="n">
        <f aca="false">X4_X6_Audit!O13</f>
        <v>-0.4</v>
      </c>
      <c r="M13" s="7" t="n">
        <v>2</v>
      </c>
      <c r="N13" s="8" t="n">
        <v>-1</v>
      </c>
      <c r="O13" s="9" t="n">
        <v>5</v>
      </c>
      <c r="P13" s="9" t="n">
        <v>1</v>
      </c>
      <c r="Q13" s="9"/>
      <c r="R13" s="9" t="n">
        <f aca="false">O13-P13</f>
        <v>4</v>
      </c>
      <c r="S13" s="10" t="str">
        <f aca="false">IF(COUNTA(G13:N13)=0,"Not Started",IF(COUNTA(G13:N13)=8,"Complete","In Progress"))</f>
        <v>In Progress</v>
      </c>
      <c r="T13" s="11" t="s">
        <v>24</v>
      </c>
    </row>
    <row r="14" customFormat="false" ht="48" hidden="false" customHeight="true" outlineLevel="0" collapsed="false">
      <c r="A14" s="2" t="n">
        <v>13</v>
      </c>
      <c r="B14" s="3" t="n">
        <v>46188</v>
      </c>
      <c r="C14" s="2" t="s">
        <v>20</v>
      </c>
      <c r="D14" s="2" t="s">
        <v>52</v>
      </c>
      <c r="E14" s="2" t="s">
        <v>53</v>
      </c>
      <c r="F14" s="2" t="s">
        <v>54</v>
      </c>
      <c r="G14" s="4"/>
      <c r="H14" s="4"/>
      <c r="I14" s="5"/>
      <c r="J14" s="5" t="n">
        <f aca="false">X4_X6_Audit!J14</f>
        <v>0.2</v>
      </c>
      <c r="K14" s="6"/>
      <c r="L14" s="6" t="n">
        <f aca="false">X4_X6_Audit!O14</f>
        <v>0</v>
      </c>
      <c r="M14" s="7" t="n">
        <v>-70</v>
      </c>
      <c r="N14" s="8" t="n">
        <v>29.4</v>
      </c>
      <c r="O14" s="9" t="n">
        <v>1</v>
      </c>
      <c r="P14" s="9" t="n">
        <v>1</v>
      </c>
      <c r="Q14" s="9"/>
      <c r="R14" s="9" t="n">
        <f aca="false">O14-P14</f>
        <v>0</v>
      </c>
      <c r="S14" s="10" t="str">
        <f aca="false">IF(COUNTA(G14:N14)=0,"Not Started",IF(COUNTA(G14:N14)=8,"Complete","In Progress"))</f>
        <v>In Progress</v>
      </c>
      <c r="T14" s="11" t="s">
        <v>24</v>
      </c>
    </row>
    <row r="15" customFormat="false" ht="48" hidden="false" customHeight="true" outlineLevel="0" collapsed="false">
      <c r="A15" s="2" t="n">
        <v>14</v>
      </c>
      <c r="B15" s="3" t="n">
        <v>46188</v>
      </c>
      <c r="C15" s="2" t="s">
        <v>20</v>
      </c>
      <c r="D15" s="2" t="s">
        <v>52</v>
      </c>
      <c r="E15" s="2" t="s">
        <v>55</v>
      </c>
      <c r="F15" s="2" t="s">
        <v>56</v>
      </c>
      <c r="G15" s="4"/>
      <c r="H15" s="4"/>
      <c r="I15" s="5"/>
      <c r="J15" s="5" t="n">
        <f aca="false">X4_X6_Audit!J15</f>
        <v>-1</v>
      </c>
      <c r="K15" s="6"/>
      <c r="L15" s="6" t="n">
        <f aca="false">X4_X6_Audit!O15</f>
        <v>0.2</v>
      </c>
      <c r="M15" s="7" t="n">
        <v>-2</v>
      </c>
      <c r="N15" s="8" t="n">
        <v>-32.2</v>
      </c>
      <c r="O15" s="9" t="n">
        <v>0</v>
      </c>
      <c r="P15" s="9" t="n">
        <v>0</v>
      </c>
      <c r="Q15" s="9"/>
      <c r="R15" s="9" t="n">
        <f aca="false">O15-P15</f>
        <v>0</v>
      </c>
      <c r="S15" s="10" t="str">
        <f aca="false">IF(COUNTA(G15:N15)=0,"Not Started",IF(COUNTA(G15:N15)=8,"Complete","In Progress"))</f>
        <v>In Progress</v>
      </c>
      <c r="T15" s="11" t="s">
        <v>24</v>
      </c>
    </row>
    <row r="16" customFormat="false" ht="48" hidden="false" customHeight="true" outlineLevel="0" collapsed="false">
      <c r="A16" s="2" t="n">
        <v>15</v>
      </c>
      <c r="B16" s="3" t="n">
        <v>46188</v>
      </c>
      <c r="C16" s="2" t="s">
        <v>20</v>
      </c>
      <c r="D16" s="2" t="s">
        <v>57</v>
      </c>
      <c r="E16" s="2" t="s">
        <v>58</v>
      </c>
      <c r="F16" s="2" t="s">
        <v>59</v>
      </c>
      <c r="G16" s="4"/>
      <c r="H16" s="4"/>
      <c r="I16" s="5"/>
      <c r="J16" s="5" t="n">
        <f aca="false">X4_X6_Audit!J16</f>
        <v>-1.4</v>
      </c>
      <c r="K16" s="6"/>
      <c r="L16" s="6" t="n">
        <f aca="false">X4_X6_Audit!O16</f>
        <v>0.6</v>
      </c>
      <c r="M16" s="7" t="n">
        <v>2</v>
      </c>
      <c r="N16" s="8" t="n">
        <v>12</v>
      </c>
      <c r="O16" s="9" t="n">
        <v>2</v>
      </c>
      <c r="P16" s="9" t="n">
        <v>2</v>
      </c>
      <c r="Q16" s="9"/>
      <c r="R16" s="9" t="n">
        <f aca="false">O16-P16</f>
        <v>0</v>
      </c>
      <c r="S16" s="10" t="str">
        <f aca="false">IF(COUNTA(G16:N16)=0,"Not Started",IF(COUNTA(G16:N16)=8,"Complete","In Progress"))</f>
        <v>In Progress</v>
      </c>
      <c r="T16" s="11" t="s">
        <v>24</v>
      </c>
    </row>
    <row r="17" customFormat="false" ht="48" hidden="false" customHeight="true" outlineLevel="0" collapsed="false">
      <c r="A17" s="2" t="n">
        <v>16</v>
      </c>
      <c r="B17" s="3" t="n">
        <v>46188</v>
      </c>
      <c r="C17" s="2" t="s">
        <v>20</v>
      </c>
      <c r="D17" s="2" t="s">
        <v>57</v>
      </c>
      <c r="E17" s="2" t="s">
        <v>60</v>
      </c>
      <c r="F17" s="2" t="s">
        <v>61</v>
      </c>
      <c r="G17" s="4"/>
      <c r="H17" s="4"/>
      <c r="I17" s="5"/>
      <c r="J17" s="5" t="n">
        <f aca="false">X4_X6_Audit!J17</f>
        <v>0.2</v>
      </c>
      <c r="K17" s="6"/>
      <c r="L17" s="6" t="n">
        <f aca="false">X4_X6_Audit!O17</f>
        <v>-0.2</v>
      </c>
      <c r="M17" s="7" t="n">
        <v>0</v>
      </c>
      <c r="N17" s="8" t="n">
        <v>30</v>
      </c>
      <c r="O17" s="9" t="n">
        <v>1</v>
      </c>
      <c r="P17" s="9" t="n">
        <v>1</v>
      </c>
      <c r="Q17" s="9"/>
      <c r="R17" s="9" t="n">
        <f aca="false">O17-P17</f>
        <v>0</v>
      </c>
      <c r="S17" s="10" t="str">
        <f aca="false">IF(COUNTA(G17:N17)=0,"Not Started",IF(COUNTA(G17:N17)=8,"Complete","In Progress"))</f>
        <v>In Progress</v>
      </c>
      <c r="T17" s="11" t="s">
        <v>24</v>
      </c>
    </row>
    <row r="18" customFormat="false" ht="48" hidden="false" customHeight="true" outlineLevel="0" collapsed="false">
      <c r="A18" s="2" t="n">
        <v>17</v>
      </c>
      <c r="B18" s="3" t="n">
        <v>46189</v>
      </c>
      <c r="C18" s="2" t="s">
        <v>20</v>
      </c>
      <c r="D18" s="2" t="s">
        <v>62</v>
      </c>
      <c r="E18" s="2" t="s">
        <v>63</v>
      </c>
      <c r="F18" s="2" t="s">
        <v>64</v>
      </c>
      <c r="G18" s="4"/>
      <c r="H18" s="4"/>
      <c r="I18" s="5"/>
      <c r="J18" s="5" t="n">
        <f aca="false">X4_X6_Audit!J18</f>
        <v>-0.2</v>
      </c>
      <c r="K18" s="6"/>
      <c r="L18" s="6" t="n">
        <f aca="false">X4_X6_Audit!O18</f>
        <v>-0.4</v>
      </c>
      <c r="M18" s="7" t="n">
        <v>1</v>
      </c>
      <c r="N18" s="8" t="n">
        <v>-2.2</v>
      </c>
      <c r="O18" s="9" t="n">
        <v>3</v>
      </c>
      <c r="P18" s="9" t="n">
        <v>1</v>
      </c>
      <c r="Q18" s="9"/>
      <c r="R18" s="9" t="n">
        <f aca="false">O18-P18</f>
        <v>2</v>
      </c>
      <c r="S18" s="10" t="str">
        <f aca="false">IF(COUNTA(G18:N18)=0,"Not Started",IF(COUNTA(G18:N18)=8,"Complete","In Progress"))</f>
        <v>In Progress</v>
      </c>
      <c r="T18" s="11" t="s">
        <v>24</v>
      </c>
    </row>
    <row r="19" customFormat="false" ht="48" hidden="false" customHeight="true" outlineLevel="0" collapsed="false">
      <c r="A19" s="2" t="n">
        <v>18</v>
      </c>
      <c r="B19" s="3" t="n">
        <v>46189</v>
      </c>
      <c r="C19" s="2" t="s">
        <v>20</v>
      </c>
      <c r="D19" s="2" t="s">
        <v>62</v>
      </c>
      <c r="E19" s="2" t="s">
        <v>65</v>
      </c>
      <c r="F19" s="2" t="s">
        <v>66</v>
      </c>
      <c r="G19" s="4"/>
      <c r="H19" s="4"/>
      <c r="I19" s="5"/>
      <c r="J19" s="5" t="n">
        <f aca="false">X4_X6_Audit!J19</f>
        <v>0</v>
      </c>
      <c r="K19" s="6"/>
      <c r="L19" s="6" t="n">
        <f aca="false">X4_X6_Audit!O19</f>
        <v>0</v>
      </c>
      <c r="M19" s="7" t="n">
        <v>-2</v>
      </c>
      <c r="N19" s="8" t="n">
        <v>57.2</v>
      </c>
      <c r="O19" s="9" t="n">
        <v>1</v>
      </c>
      <c r="P19" s="9" t="n">
        <v>4</v>
      </c>
      <c r="Q19" s="9"/>
      <c r="R19" s="9" t="n">
        <f aca="false">O19-P19</f>
        <v>-3</v>
      </c>
      <c r="S19" s="10" t="str">
        <f aca="false">IF(COUNTA(G19:N19)=0,"Not Started",IF(COUNTA(G19:N19)=8,"Complete","In Progress"))</f>
        <v>In Progress</v>
      </c>
      <c r="T19" s="11" t="s">
        <v>24</v>
      </c>
    </row>
    <row r="20" customFormat="false" ht="48" hidden="false" customHeight="true" outlineLevel="0" collapsed="false">
      <c r="A20" s="2" t="n">
        <v>19</v>
      </c>
      <c r="B20" s="3" t="n">
        <v>46189</v>
      </c>
      <c r="C20" s="2" t="s">
        <v>20</v>
      </c>
      <c r="D20" s="2" t="s">
        <v>67</v>
      </c>
      <c r="E20" s="2" t="s">
        <v>68</v>
      </c>
      <c r="F20" s="2" t="s">
        <v>69</v>
      </c>
      <c r="G20" s="4"/>
      <c r="H20" s="4"/>
      <c r="I20" s="5"/>
      <c r="J20" s="5" t="n">
        <f aca="false">X4_X6_Audit!J20</f>
        <v>-0.2</v>
      </c>
      <c r="K20" s="6"/>
      <c r="L20" s="6" t="n">
        <f aca="false">X4_X6_Audit!O20</f>
        <v>0</v>
      </c>
      <c r="M20" s="7" t="n">
        <v>1</v>
      </c>
      <c r="N20" s="8" t="n">
        <v>40.8</v>
      </c>
      <c r="O20" s="9" t="n">
        <v>3</v>
      </c>
      <c r="P20" s="9" t="n">
        <v>0</v>
      </c>
      <c r="Q20" s="9"/>
      <c r="R20" s="9" t="n">
        <f aca="false">O20-P20</f>
        <v>3</v>
      </c>
      <c r="S20" s="10" t="str">
        <f aca="false">IF(COUNTA(G20:N20)=0,"Not Started",IF(COUNTA(G20:N20)=8,"Complete","In Progress"))</f>
        <v>In Progress</v>
      </c>
      <c r="T20" s="11" t="s">
        <v>24</v>
      </c>
    </row>
    <row r="21" customFormat="false" ht="48" hidden="false" customHeight="true" outlineLevel="0" collapsed="false">
      <c r="A21" s="2" t="n">
        <v>20</v>
      </c>
      <c r="B21" s="3" t="n">
        <v>46189</v>
      </c>
      <c r="C21" s="2" t="s">
        <v>20</v>
      </c>
      <c r="D21" s="2" t="s">
        <v>67</v>
      </c>
      <c r="E21" s="2" t="s">
        <v>70</v>
      </c>
      <c r="F21" s="2" t="s">
        <v>71</v>
      </c>
      <c r="G21" s="4"/>
      <c r="H21" s="4"/>
      <c r="I21" s="5"/>
      <c r="J21" s="5" t="n">
        <f aca="false">X4_X6_Audit!J21</f>
        <v>-2.2</v>
      </c>
      <c r="K21" s="6"/>
      <c r="L21" s="6" t="n">
        <f aca="false">X4_X6_Audit!O21</f>
        <v>0.6</v>
      </c>
      <c r="M21" s="7" t="n">
        <v>6</v>
      </c>
      <c r="N21" s="8" t="n">
        <v>43.6</v>
      </c>
      <c r="O21" s="9" t="n">
        <v>3</v>
      </c>
      <c r="P21" s="9" t="n">
        <v>1</v>
      </c>
      <c r="Q21" s="9"/>
      <c r="R21" s="9" t="n">
        <f aca="false">O21-P21</f>
        <v>2</v>
      </c>
      <c r="S21" s="10" t="str">
        <f aca="false">IF(COUNTA(G21:N21)=0,"Not Started",IF(COUNTA(G21:N21)=8,"Complete","In Progress"))</f>
        <v>In Progress</v>
      </c>
      <c r="T21" s="11" t="s">
        <v>24</v>
      </c>
    </row>
    <row r="22" customFormat="false" ht="48" hidden="false" customHeight="true" outlineLevel="0" collapsed="false">
      <c r="A22" s="2" t="n">
        <v>21</v>
      </c>
      <c r="B22" s="3" t="n">
        <v>46190</v>
      </c>
      <c r="C22" s="2" t="s">
        <v>20</v>
      </c>
      <c r="D22" s="2" t="s">
        <v>72</v>
      </c>
      <c r="E22" s="2" t="s">
        <v>73</v>
      </c>
      <c r="F22" s="2" t="s">
        <v>74</v>
      </c>
      <c r="G22" s="4"/>
      <c r="H22" s="4"/>
      <c r="I22" s="5"/>
      <c r="J22" s="5" t="n">
        <f aca="false">X4_X6_Audit!J22</f>
        <v>0</v>
      </c>
      <c r="K22" s="6"/>
      <c r="L22" s="6" t="n">
        <f aca="false">X4_X6_Audit!O22</f>
        <v>0</v>
      </c>
      <c r="M22" s="7" t="n">
        <v>4</v>
      </c>
      <c r="N22" s="8" t="n">
        <v>-45.2</v>
      </c>
      <c r="O22" s="9" t="n">
        <v>1</v>
      </c>
      <c r="P22" s="9" t="n">
        <v>0</v>
      </c>
      <c r="Q22" s="9"/>
      <c r="R22" s="9" t="n">
        <f aca="false">O22-P22</f>
        <v>1</v>
      </c>
      <c r="S22" s="10" t="str">
        <f aca="false">IF(COUNTA(G22:N22)=0,"Not Started",IF(COUNTA(G22:N22)=8,"Complete","In Progress"))</f>
        <v>In Progress</v>
      </c>
      <c r="T22" s="11" t="s">
        <v>24</v>
      </c>
    </row>
    <row r="23" customFormat="false" ht="48" hidden="false" customHeight="true" outlineLevel="0" collapsed="false">
      <c r="A23" s="2" t="n">
        <v>22</v>
      </c>
      <c r="B23" s="3" t="n">
        <v>46190</v>
      </c>
      <c r="C23" s="2" t="s">
        <v>20</v>
      </c>
      <c r="D23" s="2" t="s">
        <v>72</v>
      </c>
      <c r="E23" s="2" t="s">
        <v>75</v>
      </c>
      <c r="F23" s="2" t="s">
        <v>76</v>
      </c>
      <c r="G23" s="4"/>
      <c r="H23" s="4"/>
      <c r="I23" s="5"/>
      <c r="J23" s="5" t="n">
        <f aca="false">X4_X6_Audit!J23</f>
        <v>-1.4</v>
      </c>
      <c r="K23" s="6"/>
      <c r="L23" s="6" t="n">
        <f aca="false">X4_X6_Audit!O23</f>
        <v>0.6</v>
      </c>
      <c r="M23" s="7" t="n">
        <v>-3</v>
      </c>
      <c r="N23" s="8" t="n">
        <v>13.2</v>
      </c>
      <c r="O23" s="9" t="n">
        <v>4</v>
      </c>
      <c r="P23" s="9" t="n">
        <v>2</v>
      </c>
      <c r="Q23" s="9"/>
      <c r="R23" s="9" t="n">
        <f aca="false">O23-P23</f>
        <v>2</v>
      </c>
      <c r="S23" s="10" t="str">
        <f aca="false">IF(COUNTA(G23:N23)=0,"Not Started",IF(COUNTA(G23:N23)=8,"Complete","In Progress"))</f>
        <v>In Progress</v>
      </c>
      <c r="T23" s="11" t="s">
        <v>24</v>
      </c>
    </row>
    <row r="24" customFormat="false" ht="48" hidden="false" customHeight="true" outlineLevel="0" collapsed="false">
      <c r="A24" s="2" t="n">
        <v>23</v>
      </c>
      <c r="B24" s="3" t="n">
        <v>46190</v>
      </c>
      <c r="C24" s="2" t="s">
        <v>20</v>
      </c>
      <c r="D24" s="2" t="s">
        <v>77</v>
      </c>
      <c r="E24" s="2" t="s">
        <v>78</v>
      </c>
      <c r="F24" s="2" t="s">
        <v>79</v>
      </c>
      <c r="G24" s="4"/>
      <c r="H24" s="4"/>
      <c r="I24" s="5"/>
      <c r="J24" s="5" t="n">
        <f aca="false">X4_X6_Audit!J24</f>
        <v>0</v>
      </c>
      <c r="K24" s="6"/>
      <c r="L24" s="6" t="n">
        <f aca="false">X4_X6_Audit!O24</f>
        <v>-0.2</v>
      </c>
      <c r="M24" s="7" t="n">
        <v>-1</v>
      </c>
      <c r="N24" s="8" t="n">
        <v>-26.4</v>
      </c>
      <c r="O24" s="9" t="n">
        <v>1</v>
      </c>
      <c r="P24" s="9" t="n">
        <v>1</v>
      </c>
      <c r="Q24" s="9"/>
      <c r="R24" s="9" t="n">
        <f aca="false">O24-P24</f>
        <v>0</v>
      </c>
      <c r="S24" s="10" t="str">
        <f aca="false">IF(COUNTA(G24:N24)=0,"Not Started",IF(COUNTA(G24:N24)=8,"Complete","In Progress"))</f>
        <v>In Progress</v>
      </c>
      <c r="T24" s="11" t="s">
        <v>24</v>
      </c>
    </row>
    <row r="25" customFormat="false" ht="48" hidden="false" customHeight="true" outlineLevel="0" collapsed="false">
      <c r="A25" s="2" t="n">
        <v>24</v>
      </c>
      <c r="B25" s="3" t="n">
        <v>46190</v>
      </c>
      <c r="C25" s="2" t="s">
        <v>20</v>
      </c>
      <c r="D25" s="2" t="s">
        <v>77</v>
      </c>
      <c r="E25" s="2" t="s">
        <v>80</v>
      </c>
      <c r="F25" s="2" t="s">
        <v>81</v>
      </c>
      <c r="G25" s="4"/>
      <c r="H25" s="4"/>
      <c r="I25" s="5"/>
      <c r="J25" s="5" t="n">
        <f aca="false">X4_X6_Audit!J25</f>
        <v>0.2</v>
      </c>
      <c r="K25" s="6"/>
      <c r="L25" s="6" t="n">
        <f aca="false">X4_X6_Audit!O25</f>
        <v>-0.2</v>
      </c>
      <c r="M25" s="7" t="n">
        <v>-1</v>
      </c>
      <c r="N25" s="8" t="n">
        <v>8.2</v>
      </c>
      <c r="O25" s="9" t="n">
        <v>1</v>
      </c>
      <c r="P25" s="9" t="n">
        <v>3</v>
      </c>
      <c r="Q25" s="9"/>
      <c r="R25" s="9" t="n">
        <f aca="false">O25-P25</f>
        <v>-2</v>
      </c>
      <c r="S25" s="10" t="str">
        <f aca="false">IF(COUNTA(G25:N25)=0,"Not Started",IF(COUNTA(G25:N25)=8,"Complete","In Progress"))</f>
        <v>In Progress</v>
      </c>
      <c r="T25" s="11" t="s">
        <v>24</v>
      </c>
    </row>
    <row r="26" customFormat="false" ht="48" hidden="false" customHeight="true" outlineLevel="0" collapsed="false">
      <c r="A26" s="2" t="n">
        <v>25</v>
      </c>
      <c r="B26" s="3" t="n">
        <v>46191</v>
      </c>
      <c r="C26" s="2" t="s">
        <v>20</v>
      </c>
      <c r="D26" s="2" t="s">
        <v>21</v>
      </c>
      <c r="E26" s="2" t="s">
        <v>26</v>
      </c>
      <c r="F26" s="2" t="s">
        <v>23</v>
      </c>
      <c r="G26" s="4"/>
      <c r="H26" s="4"/>
      <c r="I26" s="5"/>
      <c r="J26" s="5" t="n">
        <f aca="false">X4_X6_Audit!J26</f>
        <v>0.6</v>
      </c>
      <c r="K26" s="6"/>
      <c r="L26" s="6" t="n">
        <f aca="false">X4_X6_Audit!O26</f>
        <v>-0.4</v>
      </c>
      <c r="M26" s="7" t="n">
        <v>0</v>
      </c>
      <c r="N26" s="8" t="n">
        <v>-0.6</v>
      </c>
      <c r="O26" s="9" t="n">
        <v>1</v>
      </c>
      <c r="P26" s="9" t="n">
        <v>1</v>
      </c>
      <c r="Q26" s="9"/>
      <c r="R26" s="9" t="n">
        <f aca="false">O26-P26</f>
        <v>0</v>
      </c>
      <c r="S26" s="10" t="str">
        <f aca="false">IF(COUNTA(G26:N26)=0,"Not Started",IF(COUNTA(G26:N26)=8,"Complete","In Progress"))</f>
        <v>In Progress</v>
      </c>
      <c r="T26" s="11" t="s">
        <v>24</v>
      </c>
    </row>
    <row r="27" customFormat="false" ht="48" hidden="false" customHeight="true" outlineLevel="0" collapsed="false">
      <c r="A27" s="2" t="n">
        <v>26</v>
      </c>
      <c r="B27" s="3" t="n">
        <v>46191</v>
      </c>
      <c r="C27" s="2" t="s">
        <v>20</v>
      </c>
      <c r="D27" s="2" t="s">
        <v>27</v>
      </c>
      <c r="E27" s="2" t="s">
        <v>41</v>
      </c>
      <c r="F27" s="2" t="s">
        <v>29</v>
      </c>
      <c r="G27" s="4"/>
      <c r="H27" s="4"/>
      <c r="I27" s="5"/>
      <c r="J27" s="5" t="n">
        <f aca="false">X4_X6_Audit!J27</f>
        <v>0.6</v>
      </c>
      <c r="K27" s="6"/>
      <c r="L27" s="6" t="n">
        <f aca="false">X4_X6_Audit!O27</f>
        <v>0</v>
      </c>
      <c r="M27" s="7" t="n">
        <v>-1</v>
      </c>
      <c r="N27" s="8" t="n">
        <v>2</v>
      </c>
      <c r="O27" s="9" t="n">
        <v>4</v>
      </c>
      <c r="P27" s="9" t="n">
        <v>1</v>
      </c>
      <c r="Q27" s="9"/>
      <c r="R27" s="9" t="n">
        <f aca="false">O27-P27</f>
        <v>3</v>
      </c>
      <c r="S27" s="10" t="str">
        <f aca="false">IF(COUNTA(G27:N27)=0,"Not Started",IF(COUNTA(G27:N27)=8,"Complete","In Progress"))</f>
        <v>In Progress</v>
      </c>
      <c r="T27" s="11" t="s">
        <v>24</v>
      </c>
    </row>
    <row r="28" customFormat="false" ht="48" hidden="false" customHeight="true" outlineLevel="0" collapsed="false">
      <c r="A28" s="2" t="n">
        <v>27</v>
      </c>
      <c r="B28" s="3" t="n">
        <v>46191</v>
      </c>
      <c r="C28" s="2" t="s">
        <v>20</v>
      </c>
      <c r="D28" s="2" t="s">
        <v>27</v>
      </c>
      <c r="E28" s="2" t="s">
        <v>28</v>
      </c>
      <c r="F28" s="2" t="s">
        <v>40</v>
      </c>
      <c r="G28" s="4"/>
      <c r="H28" s="4"/>
      <c r="I28" s="5"/>
      <c r="J28" s="5" t="n">
        <f aca="false">X4_X6_Audit!J28</f>
        <v>-0.4</v>
      </c>
      <c r="K28" s="6"/>
      <c r="L28" s="6" t="n">
        <f aca="false">X4_X6_Audit!O28</f>
        <v>0.2</v>
      </c>
      <c r="M28" s="7" t="n">
        <v>1</v>
      </c>
      <c r="N28" s="8" t="n">
        <v>-2.2</v>
      </c>
      <c r="O28" s="9" t="n">
        <v>6</v>
      </c>
      <c r="P28" s="9" t="n">
        <v>0</v>
      </c>
      <c r="Q28" s="9"/>
      <c r="R28" s="9" t="n">
        <f aca="false">O28-P28</f>
        <v>6</v>
      </c>
      <c r="S28" s="10" t="str">
        <f aca="false">IF(COUNTA(G28:N28)=0,"Not Started",IF(COUNTA(G28:N28)=8,"Complete","In Progress"))</f>
        <v>In Progress</v>
      </c>
      <c r="T28" s="11" t="s">
        <v>24</v>
      </c>
    </row>
    <row r="29" customFormat="false" ht="48" hidden="false" customHeight="true" outlineLevel="0" collapsed="false">
      <c r="A29" s="2" t="n">
        <v>28</v>
      </c>
      <c r="B29" s="3" t="n">
        <v>46191</v>
      </c>
      <c r="C29" s="2" t="s">
        <v>20</v>
      </c>
      <c r="D29" s="2" t="s">
        <v>21</v>
      </c>
      <c r="E29" s="2" t="s">
        <v>22</v>
      </c>
      <c r="F29" s="2" t="s">
        <v>25</v>
      </c>
      <c r="G29" s="4"/>
      <c r="H29" s="4"/>
      <c r="I29" s="5"/>
      <c r="J29" s="5" t="n">
        <f aca="false">X4_X6_Audit!J29</f>
        <v>-0.8</v>
      </c>
      <c r="K29" s="6"/>
      <c r="L29" s="6" t="n">
        <f aca="false">X4_X6_Audit!O29</f>
        <v>0.2</v>
      </c>
      <c r="M29" s="7" t="n">
        <v>0</v>
      </c>
      <c r="N29" s="8" t="n">
        <v>-18.8</v>
      </c>
      <c r="O29" s="9" t="n">
        <v>1</v>
      </c>
      <c r="P29" s="9" t="n">
        <v>0</v>
      </c>
      <c r="Q29" s="9"/>
      <c r="R29" s="9" t="n">
        <f aca="false">O29-P29</f>
        <v>1</v>
      </c>
      <c r="S29" s="10" t="str">
        <f aca="false">IF(COUNTA(G29:N29)=0,"Not Started",IF(COUNTA(G29:N29)=8,"Complete","In Progress"))</f>
        <v>In Progress</v>
      </c>
      <c r="T29" s="11" t="s">
        <v>24</v>
      </c>
    </row>
    <row r="30" customFormat="false" ht="48" hidden="false" customHeight="true" outlineLevel="0" collapsed="false">
      <c r="A30" s="2" t="n">
        <v>29</v>
      </c>
      <c r="B30" s="3" t="n">
        <v>46192</v>
      </c>
      <c r="C30" s="2" t="s">
        <v>20</v>
      </c>
      <c r="D30" s="2" t="s">
        <v>33</v>
      </c>
      <c r="E30" s="2" t="s">
        <v>38</v>
      </c>
      <c r="F30" s="2" t="s">
        <v>34</v>
      </c>
      <c r="G30" s="4"/>
      <c r="H30" s="4"/>
      <c r="I30" s="5"/>
      <c r="J30" s="5" t="n">
        <f aca="false">X4_X6_Audit!J30</f>
        <v>0.4</v>
      </c>
      <c r="K30" s="6"/>
      <c r="L30" s="6" t="n">
        <f aca="false">X4_X6_Audit!O30</f>
        <v>-0.2</v>
      </c>
      <c r="M30" s="7" t="n">
        <v>0</v>
      </c>
      <c r="N30" s="8" t="n">
        <v>-43.6</v>
      </c>
      <c r="O30" s="9" t="n">
        <v>3</v>
      </c>
      <c r="P30" s="9" t="n">
        <v>0</v>
      </c>
      <c r="Q30" s="9"/>
      <c r="R30" s="9" t="n">
        <f aca="false">O30-P30</f>
        <v>3</v>
      </c>
      <c r="S30" s="10" t="str">
        <f aca="false">IF(COUNTA(G30:N30)=0,"Not Started",IF(COUNTA(G30:N30)=8,"Complete","In Progress"))</f>
        <v>In Progress</v>
      </c>
      <c r="T30" s="11" t="s">
        <v>24</v>
      </c>
    </row>
    <row r="31" customFormat="false" ht="48" hidden="false" customHeight="true" outlineLevel="0" collapsed="false">
      <c r="A31" s="2" t="n">
        <v>30</v>
      </c>
      <c r="B31" s="3" t="n">
        <v>46192</v>
      </c>
      <c r="C31" s="2" t="s">
        <v>20</v>
      </c>
      <c r="D31" s="2" t="s">
        <v>33</v>
      </c>
      <c r="E31" s="2" t="s">
        <v>35</v>
      </c>
      <c r="F31" s="2" t="s">
        <v>39</v>
      </c>
      <c r="G31" s="4"/>
      <c r="H31" s="4"/>
      <c r="I31" s="5"/>
      <c r="J31" s="5" t="n">
        <f aca="false">X4_X6_Audit!J31</f>
        <v>0</v>
      </c>
      <c r="K31" s="6"/>
      <c r="L31" s="6" t="n">
        <f aca="false">X4_X6_Audit!O31</f>
        <v>0</v>
      </c>
      <c r="M31" s="7" t="n">
        <v>0</v>
      </c>
      <c r="N31" s="8" t="n">
        <v>-5.2</v>
      </c>
      <c r="O31" s="9" t="n">
        <v>0</v>
      </c>
      <c r="P31" s="9" t="n">
        <v>1</v>
      </c>
      <c r="Q31" s="9"/>
      <c r="R31" s="9" t="n">
        <f aca="false">O31-P31</f>
        <v>-1</v>
      </c>
      <c r="S31" s="10" t="str">
        <f aca="false">IF(COUNTA(G31:N31)=0,"Not Started",IF(COUNTA(G31:N31)=8,"Complete","In Progress"))</f>
        <v>In Progress</v>
      </c>
      <c r="T31" s="11" t="s">
        <v>24</v>
      </c>
    </row>
    <row r="32" customFormat="false" ht="48" hidden="false" customHeight="true" outlineLevel="0" collapsed="false">
      <c r="A32" s="2" t="n">
        <v>31</v>
      </c>
      <c r="B32" s="3" t="n">
        <v>46192</v>
      </c>
      <c r="C32" s="2" t="s">
        <v>20</v>
      </c>
      <c r="D32" s="2" t="s">
        <v>30</v>
      </c>
      <c r="E32" s="2" t="s">
        <v>37</v>
      </c>
      <c r="F32" s="2" t="s">
        <v>32</v>
      </c>
      <c r="G32" s="4"/>
      <c r="H32" s="4"/>
      <c r="I32" s="5"/>
      <c r="J32" s="5" t="n">
        <f aca="false">X4_X6_Audit!J32</f>
        <v>-0.8</v>
      </c>
      <c r="K32" s="6"/>
      <c r="L32" s="6" t="n">
        <f aca="false">X4_X6_Audit!O32</f>
        <v>0.2</v>
      </c>
      <c r="M32" s="7" t="n">
        <v>-1</v>
      </c>
      <c r="N32" s="8" t="n">
        <v>11</v>
      </c>
      <c r="O32" s="9" t="n">
        <v>0</v>
      </c>
      <c r="P32" s="9" t="n">
        <v>1</v>
      </c>
      <c r="Q32" s="9"/>
      <c r="R32" s="9" t="n">
        <f aca="false">O32-P32</f>
        <v>-1</v>
      </c>
      <c r="S32" s="10" t="str">
        <f aca="false">IF(COUNTA(G32:N32)=0,"Not Started",IF(COUNTA(G32:N32)=8,"Complete","In Progress"))</f>
        <v>In Progress</v>
      </c>
      <c r="T32" s="11" t="s">
        <v>24</v>
      </c>
    </row>
    <row r="33" customFormat="false" ht="48" hidden="false" customHeight="true" outlineLevel="0" collapsed="false">
      <c r="A33" s="2" t="n">
        <v>32</v>
      </c>
      <c r="B33" s="3" t="n">
        <v>46192</v>
      </c>
      <c r="C33" s="2" t="s">
        <v>20</v>
      </c>
      <c r="D33" s="2" t="s">
        <v>30</v>
      </c>
      <c r="E33" s="2" t="s">
        <v>31</v>
      </c>
      <c r="F33" s="2" t="s">
        <v>36</v>
      </c>
      <c r="G33" s="4"/>
      <c r="H33" s="4"/>
      <c r="I33" s="5"/>
      <c r="J33" s="5" t="n">
        <f aca="false">X4_X6_Audit!J33</f>
        <v>1.8</v>
      </c>
      <c r="K33" s="6"/>
      <c r="L33" s="6" t="n">
        <f aca="false">X4_X6_Audit!O33</f>
        <v>-0.4</v>
      </c>
      <c r="M33" s="7" t="n">
        <v>1</v>
      </c>
      <c r="N33" s="8" t="n">
        <v>-20.4</v>
      </c>
      <c r="O33" s="9" t="n">
        <v>2</v>
      </c>
      <c r="P33" s="9" t="n">
        <v>0</v>
      </c>
      <c r="Q33" s="9"/>
      <c r="R33" s="9" t="n">
        <f aca="false">O33-P33</f>
        <v>2</v>
      </c>
      <c r="S33" s="10" t="str">
        <f aca="false">IF(COUNTA(G33:N33)=0,"Not Started",IF(COUNTA(G33:N33)=8,"Complete","In Progress"))</f>
        <v>In Progress</v>
      </c>
      <c r="T33" s="11" t="s">
        <v>24</v>
      </c>
    </row>
    <row r="34" customFormat="false" ht="48" hidden="false" customHeight="true" outlineLevel="0" collapsed="false">
      <c r="A34" s="2" t="n">
        <v>33</v>
      </c>
      <c r="B34" s="3" t="n">
        <v>46193</v>
      </c>
      <c r="C34" s="2" t="s">
        <v>20</v>
      </c>
      <c r="D34" s="2" t="s">
        <v>42</v>
      </c>
      <c r="E34" s="2" t="s">
        <v>45</v>
      </c>
      <c r="F34" s="2" t="s">
        <v>43</v>
      </c>
      <c r="G34" s="4"/>
      <c r="H34" s="4"/>
      <c r="I34" s="5"/>
      <c r="J34" s="5" t="n">
        <f aca="false">X4_X6_Audit!J34</f>
        <v>0.4</v>
      </c>
      <c r="K34" s="6"/>
      <c r="L34" s="6" t="n">
        <f aca="false">X4_X6_Audit!O34</f>
        <v>-0.4</v>
      </c>
      <c r="M34" s="7" t="n">
        <v>0</v>
      </c>
      <c r="N34" s="8" t="n">
        <v>28.4</v>
      </c>
      <c r="O34" s="9" t="n">
        <v>2</v>
      </c>
      <c r="P34" s="9" t="n">
        <v>1</v>
      </c>
      <c r="Q34" s="9"/>
      <c r="R34" s="9" t="n">
        <f aca="false">O34-P34</f>
        <v>1</v>
      </c>
      <c r="S34" s="10" t="str">
        <f aca="false">IF(COUNTA(G34:N34)=0,"Not Started",IF(COUNTA(G34:N34)=8,"Complete","In Progress"))</f>
        <v>In Progress</v>
      </c>
      <c r="T34" s="11" t="s">
        <v>24</v>
      </c>
    </row>
    <row r="35" customFormat="false" ht="48" hidden="false" customHeight="true" outlineLevel="0" collapsed="false">
      <c r="A35" s="2" t="n">
        <v>34</v>
      </c>
      <c r="B35" s="3" t="n">
        <v>46193</v>
      </c>
      <c r="C35" s="2" t="s">
        <v>20</v>
      </c>
      <c r="D35" s="2" t="s">
        <v>42</v>
      </c>
      <c r="E35" s="2" t="s">
        <v>44</v>
      </c>
      <c r="F35" s="2" t="s">
        <v>46</v>
      </c>
      <c r="G35" s="4"/>
      <c r="H35" s="4"/>
      <c r="I35" s="5"/>
      <c r="J35" s="5" t="n">
        <f aca="false">X4_X6_Audit!J35</f>
        <v>-2.8</v>
      </c>
      <c r="K35" s="6"/>
      <c r="L35" s="6" t="n">
        <f aca="false">X4_X6_Audit!O35</f>
        <v>0</v>
      </c>
      <c r="M35" s="7" t="n">
        <v>0</v>
      </c>
      <c r="N35" s="8" t="n">
        <v>-31.4</v>
      </c>
      <c r="O35" s="9" t="n">
        <v>0</v>
      </c>
      <c r="P35" s="9" t="n">
        <v>0</v>
      </c>
      <c r="Q35" s="9"/>
      <c r="R35" s="9" t="n">
        <f aca="false">O35-P35</f>
        <v>0</v>
      </c>
      <c r="S35" s="10" t="str">
        <f aca="false">IF(COUNTA(G35:N35)=0,"Not Started",IF(COUNTA(G35:N35)=8,"Complete","In Progress"))</f>
        <v>In Progress</v>
      </c>
      <c r="T35" s="11" t="s">
        <v>24</v>
      </c>
    </row>
    <row r="36" customFormat="false" ht="48" hidden="false" customHeight="true" outlineLevel="0" collapsed="false">
      <c r="A36" s="2" t="n">
        <v>35</v>
      </c>
      <c r="B36" s="3" t="n">
        <v>46193</v>
      </c>
      <c r="C36" s="2" t="s">
        <v>20</v>
      </c>
      <c r="D36" s="2" t="s">
        <v>47</v>
      </c>
      <c r="E36" s="2" t="s">
        <v>48</v>
      </c>
      <c r="F36" s="2" t="s">
        <v>50</v>
      </c>
      <c r="G36" s="4"/>
      <c r="H36" s="4"/>
      <c r="I36" s="5"/>
      <c r="J36" s="5" t="n">
        <f aca="false">X4_X6_Audit!J36</f>
        <v>-0.6</v>
      </c>
      <c r="K36" s="6"/>
      <c r="L36" s="6" t="n">
        <f aca="false">X4_X6_Audit!O36</f>
        <v>0</v>
      </c>
      <c r="M36" s="7" t="n">
        <v>0</v>
      </c>
      <c r="N36" s="8" t="n">
        <v>-7.2</v>
      </c>
      <c r="O36" s="9" t="n">
        <v>5</v>
      </c>
      <c r="P36" s="9" t="n">
        <v>1</v>
      </c>
      <c r="Q36" s="9"/>
      <c r="R36" s="9" t="n">
        <f aca="false">O36-P36</f>
        <v>4</v>
      </c>
      <c r="S36" s="10" t="str">
        <f aca="false">IF(COUNTA(G36:N36)=0,"Not Started",IF(COUNTA(G36:N36)=8,"Complete","In Progress"))</f>
        <v>In Progress</v>
      </c>
      <c r="T36" s="11" t="s">
        <v>24</v>
      </c>
    </row>
    <row r="37" customFormat="false" ht="48" hidden="false" customHeight="true" outlineLevel="0" collapsed="false">
      <c r="A37" s="2" t="n">
        <v>36</v>
      </c>
      <c r="B37" s="3" t="n">
        <v>46193</v>
      </c>
      <c r="C37" s="2" t="s">
        <v>20</v>
      </c>
      <c r="D37" s="2" t="s">
        <v>47</v>
      </c>
      <c r="E37" s="2" t="s">
        <v>51</v>
      </c>
      <c r="F37" s="2" t="s">
        <v>49</v>
      </c>
      <c r="G37" s="4"/>
      <c r="H37" s="4"/>
      <c r="I37" s="5"/>
      <c r="J37" s="5" t="n">
        <f aca="false">X4_X6_Audit!J37</f>
        <v>1.8</v>
      </c>
      <c r="K37" s="6"/>
      <c r="L37" s="6" t="n">
        <f aca="false">X4_X6_Audit!O37</f>
        <v>-0.4</v>
      </c>
      <c r="M37" s="7" t="n">
        <v>0</v>
      </c>
      <c r="N37" s="8" t="n">
        <v>-3.6</v>
      </c>
      <c r="O37" s="9" t="n">
        <v>0</v>
      </c>
      <c r="P37" s="9" t="n">
        <v>4</v>
      </c>
      <c r="Q37" s="9"/>
      <c r="R37" s="9" t="n">
        <f aca="false">O37-P37</f>
        <v>-4</v>
      </c>
      <c r="S37" s="10" t="str">
        <f aca="false">IF(COUNTA(G37:N37)=0,"Not Started",IF(COUNTA(G37:N37)=8,"Complete","In Progress"))</f>
        <v>In Progress</v>
      </c>
      <c r="T37" s="11" t="s">
        <v>24</v>
      </c>
    </row>
    <row r="38" customFormat="false" ht="48" hidden="false" customHeight="true" outlineLevel="0" collapsed="false">
      <c r="A38" s="2" t="n">
        <v>37</v>
      </c>
      <c r="B38" s="3" t="n">
        <v>46194</v>
      </c>
      <c r="C38" s="2" t="s">
        <v>20</v>
      </c>
      <c r="D38" s="2" t="s">
        <v>52</v>
      </c>
      <c r="E38" s="2" t="s">
        <v>54</v>
      </c>
      <c r="F38" s="2" t="s">
        <v>56</v>
      </c>
      <c r="G38" s="4"/>
      <c r="H38" s="4"/>
      <c r="I38" s="5"/>
      <c r="J38" s="5" t="n">
        <f aca="false">X4_X6_Audit!J38</f>
        <v>-0.2</v>
      </c>
      <c r="K38" s="6"/>
      <c r="L38" s="6" t="n">
        <f aca="false">X4_X6_Audit!O38</f>
        <v>0</v>
      </c>
      <c r="M38" s="7" t="n">
        <v>0</v>
      </c>
      <c r="N38" s="8" t="n">
        <v>-42.8</v>
      </c>
      <c r="O38" s="9" t="n">
        <v>2</v>
      </c>
      <c r="P38" s="9" t="n">
        <v>2</v>
      </c>
      <c r="Q38" s="9"/>
      <c r="R38" s="9" t="n">
        <f aca="false">O38-P38</f>
        <v>0</v>
      </c>
      <c r="S38" s="10" t="str">
        <f aca="false">IF(COUNTA(G38:N38)=0,"Not Started",IF(COUNTA(G38:N38)=8,"Complete","In Progress"))</f>
        <v>In Progress</v>
      </c>
      <c r="T38" s="11" t="s">
        <v>24</v>
      </c>
    </row>
    <row r="39" customFormat="false" ht="48" hidden="false" customHeight="true" outlineLevel="0" collapsed="false">
      <c r="A39" s="2" t="n">
        <v>38</v>
      </c>
      <c r="B39" s="3" t="n">
        <v>46194</v>
      </c>
      <c r="C39" s="2" t="s">
        <v>20</v>
      </c>
      <c r="D39" s="2" t="s">
        <v>52</v>
      </c>
      <c r="E39" s="2" t="s">
        <v>55</v>
      </c>
      <c r="F39" s="2" t="s">
        <v>53</v>
      </c>
      <c r="G39" s="4"/>
      <c r="H39" s="4"/>
      <c r="I39" s="5"/>
      <c r="J39" s="5" t="n">
        <f aca="false">X4_X6_Audit!J39</f>
        <v>-0.6</v>
      </c>
      <c r="K39" s="6"/>
      <c r="L39" s="6" t="n">
        <f aca="false">X4_X6_Audit!O39</f>
        <v>0.2</v>
      </c>
      <c r="M39" s="7" t="n">
        <v>0</v>
      </c>
      <c r="N39" s="8" t="n">
        <v>-0.2</v>
      </c>
      <c r="O39" s="9" t="n">
        <v>4</v>
      </c>
      <c r="P39" s="9" t="n">
        <v>0</v>
      </c>
      <c r="Q39" s="9"/>
      <c r="R39" s="9" t="n">
        <f aca="false">O39-P39</f>
        <v>4</v>
      </c>
      <c r="S39" s="10" t="str">
        <f aca="false">IF(COUNTA(G39:N39)=0,"Not Started",IF(COUNTA(G39:N39)=8,"Complete","In Progress"))</f>
        <v>In Progress</v>
      </c>
      <c r="T39" s="11" t="s">
        <v>24</v>
      </c>
    </row>
    <row r="40" customFormat="false" ht="48" hidden="false" customHeight="true" outlineLevel="0" collapsed="false">
      <c r="A40" s="2" t="n">
        <v>39</v>
      </c>
      <c r="B40" s="3" t="n">
        <v>46194</v>
      </c>
      <c r="C40" s="2" t="s">
        <v>20</v>
      </c>
      <c r="D40" s="2" t="s">
        <v>57</v>
      </c>
      <c r="E40" s="2" t="s">
        <v>60</v>
      </c>
      <c r="F40" s="2" t="s">
        <v>58</v>
      </c>
      <c r="G40" s="4"/>
      <c r="H40" s="4"/>
      <c r="I40" s="5"/>
      <c r="J40" s="5" t="n">
        <f aca="false">X4_X6_Audit!J40</f>
        <v>-0.2</v>
      </c>
      <c r="K40" s="6"/>
      <c r="L40" s="6" t="n">
        <f aca="false">X4_X6_Audit!O40</f>
        <v>0</v>
      </c>
      <c r="M40" s="7" t="n">
        <v>0</v>
      </c>
      <c r="N40" s="8" t="n">
        <v>-43</v>
      </c>
      <c r="O40" s="9" t="n">
        <v>0</v>
      </c>
      <c r="P40" s="9" t="n">
        <v>0</v>
      </c>
      <c r="Q40" s="9"/>
      <c r="R40" s="9" t="n">
        <f aca="false">O40-P40</f>
        <v>0</v>
      </c>
      <c r="S40" s="10" t="str">
        <f aca="false">IF(COUNTA(G40:N40)=0,"Not Started",IF(COUNTA(G40:N40)=8,"Complete","In Progress"))</f>
        <v>In Progress</v>
      </c>
      <c r="T40" s="11" t="s">
        <v>24</v>
      </c>
    </row>
    <row r="41" customFormat="false" ht="48" hidden="false" customHeight="true" outlineLevel="0" collapsed="false">
      <c r="A41" s="2" t="n">
        <v>40</v>
      </c>
      <c r="B41" s="3" t="n">
        <v>46194</v>
      </c>
      <c r="C41" s="2" t="s">
        <v>20</v>
      </c>
      <c r="D41" s="2" t="s">
        <v>57</v>
      </c>
      <c r="E41" s="2" t="s">
        <v>59</v>
      </c>
      <c r="F41" s="2" t="s">
        <v>61</v>
      </c>
      <c r="G41" s="4"/>
      <c r="H41" s="4"/>
      <c r="I41" s="5"/>
      <c r="J41" s="5" t="n">
        <f aca="false">X4_X6_Audit!J41</f>
        <v>1.4</v>
      </c>
      <c r="K41" s="6"/>
      <c r="L41" s="6" t="n">
        <f aca="false">X4_X6_Audit!O41</f>
        <v>-0.6</v>
      </c>
      <c r="M41" s="7" t="n">
        <v>0</v>
      </c>
      <c r="N41" s="8" t="n">
        <v>24.8</v>
      </c>
      <c r="O41" s="9" t="n">
        <v>1</v>
      </c>
      <c r="P41" s="9" t="n">
        <v>3</v>
      </c>
      <c r="Q41" s="9"/>
      <c r="R41" s="9" t="n">
        <f aca="false">O41-P41</f>
        <v>-2</v>
      </c>
      <c r="S41" s="10" t="str">
        <f aca="false">IF(COUNTA(G41:N41)=0,"Not Started",IF(COUNTA(G41:N41)=8,"Complete","In Progress"))</f>
        <v>In Progress</v>
      </c>
      <c r="T41" s="11" t="s">
        <v>24</v>
      </c>
    </row>
    <row r="42" customFormat="false" ht="48" hidden="false" customHeight="true" outlineLevel="0" collapsed="false">
      <c r="A42" s="2" t="n">
        <v>41</v>
      </c>
      <c r="B42" s="3" t="n">
        <v>46195</v>
      </c>
      <c r="C42" s="2" t="s">
        <v>20</v>
      </c>
      <c r="D42" s="2" t="s">
        <v>62</v>
      </c>
      <c r="E42" s="2" t="s">
        <v>66</v>
      </c>
      <c r="F42" s="2" t="s">
        <v>64</v>
      </c>
      <c r="G42" s="4"/>
      <c r="H42" s="4"/>
      <c r="I42" s="5"/>
      <c r="J42" s="5" t="n">
        <f aca="false">X4_X6_Audit!J42</f>
        <v>-0.4</v>
      </c>
      <c r="K42" s="6"/>
      <c r="L42" s="6" t="n">
        <f aca="false">X4_X6_Audit!O42</f>
        <v>-0.2</v>
      </c>
      <c r="M42" s="7" t="n">
        <v>0</v>
      </c>
      <c r="N42" s="8" t="n">
        <v>-24.2</v>
      </c>
      <c r="O42" s="9" t="n">
        <v>3</v>
      </c>
      <c r="P42" s="9" t="n">
        <v>2</v>
      </c>
      <c r="Q42" s="9"/>
      <c r="R42" s="9" t="n">
        <f aca="false">O42-P42</f>
        <v>1</v>
      </c>
      <c r="S42" s="10" t="str">
        <f aca="false">IF(COUNTA(G42:N42)=0,"Not Started",IF(COUNTA(G42:N42)=8,"Complete","In Progress"))</f>
        <v>In Progress</v>
      </c>
      <c r="T42" s="11" t="s">
        <v>24</v>
      </c>
    </row>
    <row r="43" customFormat="false" ht="48" hidden="false" customHeight="true" outlineLevel="0" collapsed="false">
      <c r="A43" s="2" t="n">
        <v>42</v>
      </c>
      <c r="B43" s="3" t="n">
        <v>46195</v>
      </c>
      <c r="C43" s="2" t="s">
        <v>20</v>
      </c>
      <c r="D43" s="2" t="s">
        <v>62</v>
      </c>
      <c r="E43" s="2" t="s">
        <v>63</v>
      </c>
      <c r="F43" s="2" t="s">
        <v>65</v>
      </c>
      <c r="G43" s="4"/>
      <c r="H43" s="4"/>
      <c r="I43" s="5"/>
      <c r="J43" s="5" t="n">
        <f aca="false">X4_X6_Audit!J43</f>
        <v>-0.4</v>
      </c>
      <c r="K43" s="6"/>
      <c r="L43" s="6" t="n">
        <f aca="false">X4_X6_Audit!O43</f>
        <v>-0.2</v>
      </c>
      <c r="M43" s="7" t="n">
        <v>0</v>
      </c>
      <c r="N43" s="8" t="n">
        <v>-38.6</v>
      </c>
      <c r="O43" s="9" t="n">
        <v>3</v>
      </c>
      <c r="P43" s="9" t="n">
        <v>0</v>
      </c>
      <c r="Q43" s="9"/>
      <c r="R43" s="9" t="n">
        <f aca="false">O43-P43</f>
        <v>3</v>
      </c>
      <c r="S43" s="10" t="str">
        <f aca="false">IF(COUNTA(G43:N43)=0,"Not Started",IF(COUNTA(G43:N43)=8,"Complete","In Progress"))</f>
        <v>In Progress</v>
      </c>
      <c r="T43" s="11" t="s">
        <v>24</v>
      </c>
    </row>
    <row r="44" customFormat="false" ht="48" hidden="false" customHeight="true" outlineLevel="0" collapsed="false">
      <c r="A44" s="2" t="n">
        <v>43</v>
      </c>
      <c r="B44" s="3" t="n">
        <v>46195</v>
      </c>
      <c r="C44" s="2" t="s">
        <v>20</v>
      </c>
      <c r="D44" s="2" t="s">
        <v>67</v>
      </c>
      <c r="E44" s="2" t="s">
        <v>68</v>
      </c>
      <c r="F44" s="2" t="s">
        <v>70</v>
      </c>
      <c r="G44" s="4"/>
      <c r="H44" s="4"/>
      <c r="I44" s="5"/>
      <c r="J44" s="5" t="n">
        <f aca="false">X4_X6_Audit!J44</f>
        <v>-0.4</v>
      </c>
      <c r="K44" s="6"/>
      <c r="L44" s="6" t="n">
        <f aca="false">X4_X6_Audit!O44</f>
        <v>0.4</v>
      </c>
      <c r="M44" s="7" t="n">
        <v>0</v>
      </c>
      <c r="N44" s="8" t="n">
        <v>19.8</v>
      </c>
      <c r="O44" s="9" t="n">
        <v>2</v>
      </c>
      <c r="P44" s="9" t="n">
        <v>0</v>
      </c>
      <c r="Q44" s="9"/>
      <c r="R44" s="9" t="n">
        <f aca="false">O44-P44</f>
        <v>2</v>
      </c>
      <c r="S44" s="10" t="str">
        <f aca="false">IF(COUNTA(G44:N44)=0,"Not Started",IF(COUNTA(G44:N44)=8,"Complete","In Progress"))</f>
        <v>In Progress</v>
      </c>
      <c r="T44" s="11" t="s">
        <v>24</v>
      </c>
    </row>
    <row r="45" customFormat="false" ht="48" hidden="false" customHeight="true" outlineLevel="0" collapsed="false">
      <c r="A45" s="2" t="n">
        <v>44</v>
      </c>
      <c r="B45" s="3" t="n">
        <v>46195</v>
      </c>
      <c r="C45" s="2" t="s">
        <v>20</v>
      </c>
      <c r="D45" s="2" t="s">
        <v>67</v>
      </c>
      <c r="E45" s="2" t="s">
        <v>71</v>
      </c>
      <c r="F45" s="2" t="s">
        <v>69</v>
      </c>
      <c r="G45" s="4"/>
      <c r="H45" s="4"/>
      <c r="I45" s="5"/>
      <c r="J45" s="5" t="n">
        <f aca="false">X4_X6_Audit!J45</f>
        <v>2</v>
      </c>
      <c r="K45" s="6"/>
      <c r="L45" s="6" t="n">
        <f aca="false">X4_X6_Audit!O45</f>
        <v>-0.8</v>
      </c>
      <c r="M45" s="7" t="n">
        <v>0</v>
      </c>
      <c r="N45" s="8" t="n">
        <v>-12.4</v>
      </c>
      <c r="O45" s="9" t="n">
        <v>1</v>
      </c>
      <c r="P45" s="9" t="n">
        <v>2</v>
      </c>
      <c r="Q45" s="9"/>
      <c r="R45" s="9" t="n">
        <f aca="false">O45-P45</f>
        <v>-1</v>
      </c>
      <c r="S45" s="10" t="str">
        <f aca="false">IF(COUNTA(G45:N45)=0,"Not Started",IF(COUNTA(G45:N45)=8,"Complete","In Progress"))</f>
        <v>In Progress</v>
      </c>
      <c r="T45" s="11" t="s">
        <v>24</v>
      </c>
    </row>
    <row r="46" customFormat="false" ht="48" hidden="false" customHeight="true" outlineLevel="0" collapsed="false">
      <c r="A46" s="2" t="n">
        <v>45</v>
      </c>
      <c r="B46" s="3" t="n">
        <v>46196</v>
      </c>
      <c r="C46" s="2" t="s">
        <v>20</v>
      </c>
      <c r="D46" s="2" t="s">
        <v>72</v>
      </c>
      <c r="E46" s="2" t="s">
        <v>75</v>
      </c>
      <c r="F46" s="2" t="s">
        <v>73</v>
      </c>
      <c r="G46" s="4"/>
      <c r="H46" s="4"/>
      <c r="I46" s="5"/>
      <c r="J46" s="5" t="n">
        <f aca="false">X4_X6_Audit!J46</f>
        <v>-1.2</v>
      </c>
      <c r="K46" s="6"/>
      <c r="L46" s="6" t="n">
        <f aca="false">X4_X6_Audit!O46</f>
        <v>0.2</v>
      </c>
      <c r="M46" s="7" t="n">
        <v>0</v>
      </c>
      <c r="N46" s="8" t="n">
        <v>12.6</v>
      </c>
      <c r="O46" s="9" t="n">
        <v>0</v>
      </c>
      <c r="P46" s="9" t="n">
        <v>0</v>
      </c>
      <c r="Q46" s="9"/>
      <c r="R46" s="9" t="n">
        <f aca="false">O46-P46</f>
        <v>0</v>
      </c>
      <c r="S46" s="10" t="str">
        <f aca="false">IF(COUNTA(G46:N46)=0,"Not Started",IF(COUNTA(G46:N46)=8,"Complete","In Progress"))</f>
        <v>In Progress</v>
      </c>
      <c r="T46" s="11" t="s">
        <v>24</v>
      </c>
    </row>
    <row r="47" customFormat="false" ht="48" hidden="false" customHeight="true" outlineLevel="0" collapsed="false">
      <c r="A47" s="2" t="n">
        <v>46</v>
      </c>
      <c r="B47" s="3" t="n">
        <v>46196</v>
      </c>
      <c r="C47" s="2" t="s">
        <v>20</v>
      </c>
      <c r="D47" s="2" t="s">
        <v>72</v>
      </c>
      <c r="E47" s="2" t="s">
        <v>74</v>
      </c>
      <c r="F47" s="2" t="s">
        <v>76</v>
      </c>
      <c r="G47" s="4"/>
      <c r="H47" s="4"/>
      <c r="I47" s="5"/>
      <c r="J47" s="5" t="n">
        <f aca="false">X4_X6_Audit!J47</f>
        <v>0</v>
      </c>
      <c r="K47" s="6"/>
      <c r="L47" s="6" t="n">
        <f aca="false">X4_X6_Audit!O47</f>
        <v>0</v>
      </c>
      <c r="M47" s="7" t="n">
        <v>0</v>
      </c>
      <c r="N47" s="8" t="n">
        <v>51.4</v>
      </c>
      <c r="O47" s="9" t="n">
        <v>0</v>
      </c>
      <c r="P47" s="9" t="n">
        <v>1</v>
      </c>
      <c r="Q47" s="9"/>
      <c r="R47" s="9" t="n">
        <f aca="false">O47-P47</f>
        <v>-1</v>
      </c>
      <c r="S47" s="10" t="str">
        <f aca="false">IF(COUNTA(G47:N47)=0,"Not Started",IF(COUNTA(G47:N47)=8,"Complete","In Progress"))</f>
        <v>In Progress</v>
      </c>
      <c r="T47" s="11" t="s">
        <v>24</v>
      </c>
    </row>
    <row r="48" customFormat="false" ht="48" hidden="false" customHeight="true" outlineLevel="0" collapsed="false">
      <c r="A48" s="2" t="n">
        <v>47</v>
      </c>
      <c r="B48" s="3" t="n">
        <v>46196</v>
      </c>
      <c r="C48" s="2" t="s">
        <v>20</v>
      </c>
      <c r="D48" s="2" t="s">
        <v>77</v>
      </c>
      <c r="E48" s="2" t="s">
        <v>78</v>
      </c>
      <c r="F48" s="2" t="s">
        <v>80</v>
      </c>
      <c r="G48" s="4"/>
      <c r="H48" s="4"/>
      <c r="I48" s="5"/>
      <c r="J48" s="5" t="n">
        <f aca="false">X4_X6_Audit!J48</f>
        <v>-1</v>
      </c>
      <c r="K48" s="6"/>
      <c r="L48" s="6" t="n">
        <f aca="false">X4_X6_Audit!O48</f>
        <v>0.2</v>
      </c>
      <c r="M48" s="7" t="n">
        <v>0</v>
      </c>
      <c r="N48" s="8" t="n">
        <v>-5.8</v>
      </c>
      <c r="O48" s="9" t="n">
        <v>5</v>
      </c>
      <c r="P48" s="9" t="n">
        <v>0</v>
      </c>
      <c r="Q48" s="9"/>
      <c r="R48" s="9" t="n">
        <f aca="false">O48-P48</f>
        <v>5</v>
      </c>
      <c r="S48" s="10" t="str">
        <f aca="false">IF(COUNTA(G48:N48)=0,"Not Started",IF(COUNTA(G48:N48)=8,"Complete","In Progress"))</f>
        <v>In Progress</v>
      </c>
      <c r="T48" s="11" t="s">
        <v>24</v>
      </c>
    </row>
    <row r="49" customFormat="false" ht="48" hidden="false" customHeight="true" outlineLevel="0" collapsed="false">
      <c r="A49" s="2" t="n">
        <v>48</v>
      </c>
      <c r="B49" s="3" t="n">
        <v>46196</v>
      </c>
      <c r="C49" s="2" t="s">
        <v>20</v>
      </c>
      <c r="D49" s="2" t="s">
        <v>77</v>
      </c>
      <c r="E49" s="2" t="s">
        <v>81</v>
      </c>
      <c r="F49" s="2" t="s">
        <v>79</v>
      </c>
      <c r="G49" s="4"/>
      <c r="H49" s="4"/>
      <c r="I49" s="5"/>
      <c r="J49" s="5" t="n">
        <f aca="false">X4_X6_Audit!J49</f>
        <v>0.8</v>
      </c>
      <c r="K49" s="6"/>
      <c r="L49" s="6" t="n">
        <f aca="false">X4_X6_Audit!O49</f>
        <v>-0.4</v>
      </c>
      <c r="M49" s="7" t="n">
        <v>0</v>
      </c>
      <c r="N49" s="8" t="n">
        <v>-28</v>
      </c>
      <c r="O49" s="9" t="n">
        <v>1</v>
      </c>
      <c r="P49" s="9" t="n">
        <v>0</v>
      </c>
      <c r="Q49" s="9"/>
      <c r="R49" s="9" t="n">
        <f aca="false">O49-P49</f>
        <v>1</v>
      </c>
      <c r="S49" s="10" t="str">
        <f aca="false">IF(COUNTA(G49:N49)=0,"Not Started",IF(COUNTA(G49:N49)=8,"Complete","In Progress"))</f>
        <v>In Progress</v>
      </c>
      <c r="T49" s="11" t="s">
        <v>24</v>
      </c>
    </row>
    <row r="50" customFormat="false" ht="48" hidden="false" customHeight="true" outlineLevel="0" collapsed="false">
      <c r="A50" s="2" t="n">
        <v>49</v>
      </c>
      <c r="B50" s="3" t="n">
        <v>46197</v>
      </c>
      <c r="C50" s="2" t="s">
        <v>20</v>
      </c>
      <c r="D50" s="2" t="s">
        <v>33</v>
      </c>
      <c r="E50" s="2" t="s">
        <v>35</v>
      </c>
      <c r="F50" s="2" t="s">
        <v>38</v>
      </c>
      <c r="G50" s="4"/>
      <c r="H50" s="4"/>
      <c r="I50" s="5"/>
      <c r="J50" s="5" t="n">
        <f aca="false">X4_X6_Audit!J50</f>
        <v>-0.4</v>
      </c>
      <c r="K50" s="6"/>
      <c r="L50" s="6" t="n">
        <f aca="false">X4_X6_Audit!O50</f>
        <v>0.2</v>
      </c>
      <c r="M50" s="7" t="n">
        <v>0</v>
      </c>
      <c r="N50" s="8" t="n">
        <v>24.4</v>
      </c>
      <c r="O50" s="9" t="n">
        <v>0</v>
      </c>
      <c r="P50" s="9" t="n">
        <v>3</v>
      </c>
      <c r="Q50" s="9"/>
      <c r="R50" s="9" t="n">
        <f aca="false">O50-P50</f>
        <v>-3</v>
      </c>
      <c r="S50" s="10" t="str">
        <f aca="false">IF(COUNTA(G50:N50)=0,"Not Started",IF(COUNTA(G50:N50)=8,"Complete","In Progress"))</f>
        <v>In Progress</v>
      </c>
      <c r="T50" s="11" t="s">
        <v>24</v>
      </c>
    </row>
    <row r="51" customFormat="false" ht="48" hidden="false" customHeight="true" outlineLevel="0" collapsed="false">
      <c r="A51" s="2" t="n">
        <v>50</v>
      </c>
      <c r="B51" s="3" t="n">
        <v>46197</v>
      </c>
      <c r="C51" s="2" t="s">
        <v>20</v>
      </c>
      <c r="D51" s="2" t="s">
        <v>33</v>
      </c>
      <c r="E51" s="2" t="s">
        <v>39</v>
      </c>
      <c r="F51" s="2" t="s">
        <v>34</v>
      </c>
      <c r="G51" s="4"/>
      <c r="H51" s="4"/>
      <c r="I51" s="5"/>
      <c r="J51" s="5" t="n">
        <f aca="false">X4_X6_Audit!J51</f>
        <v>-1</v>
      </c>
      <c r="K51" s="6"/>
      <c r="L51" s="6" t="n">
        <f aca="false">X4_X6_Audit!O51</f>
        <v>0.4</v>
      </c>
      <c r="M51" s="7" t="n">
        <v>0</v>
      </c>
      <c r="N51" s="8" t="n">
        <v>13</v>
      </c>
      <c r="O51" s="9" t="n">
        <v>4</v>
      </c>
      <c r="P51" s="9" t="n">
        <v>2</v>
      </c>
      <c r="Q51" s="9"/>
      <c r="R51" s="9" t="n">
        <f aca="false">O51-P51</f>
        <v>2</v>
      </c>
      <c r="S51" s="10" t="str">
        <f aca="false">IF(COUNTA(G51:N51)=0,"Not Started",IF(COUNTA(G51:N51)=8,"Complete","In Progress"))</f>
        <v>In Progress</v>
      </c>
      <c r="T51" s="11" t="s">
        <v>24</v>
      </c>
    </row>
    <row r="52" customFormat="false" ht="48" hidden="false" customHeight="true" outlineLevel="0" collapsed="false">
      <c r="A52" s="2" t="n">
        <v>51</v>
      </c>
      <c r="B52" s="3" t="n">
        <v>46197</v>
      </c>
      <c r="C52" s="2" t="s">
        <v>20</v>
      </c>
      <c r="D52" s="2" t="s">
        <v>27</v>
      </c>
      <c r="E52" s="2" t="s">
        <v>41</v>
      </c>
      <c r="F52" s="2" t="s">
        <v>28</v>
      </c>
      <c r="G52" s="4"/>
      <c r="H52" s="4"/>
      <c r="I52" s="5"/>
      <c r="J52" s="5" t="n">
        <f aca="false">X4_X6_Audit!J52</f>
        <v>0.4</v>
      </c>
      <c r="K52" s="6"/>
      <c r="L52" s="6" t="n">
        <f aca="false">X4_X6_Audit!O52</f>
        <v>-0.4</v>
      </c>
      <c r="M52" s="7" t="n">
        <v>0</v>
      </c>
      <c r="N52" s="8" t="n">
        <v>-6.8</v>
      </c>
      <c r="O52" s="9" t="n">
        <v>2</v>
      </c>
      <c r="P52" s="9" t="n">
        <v>1</v>
      </c>
      <c r="Q52" s="9"/>
      <c r="R52" s="9" t="n">
        <f aca="false">O52-P52</f>
        <v>1</v>
      </c>
      <c r="S52" s="10" t="str">
        <f aca="false">IF(COUNTA(G52:N52)=0,"Not Started",IF(COUNTA(G52:N52)=8,"Complete","In Progress"))</f>
        <v>In Progress</v>
      </c>
      <c r="T52" s="11" t="s">
        <v>24</v>
      </c>
    </row>
    <row r="53" customFormat="false" ht="48" hidden="false" customHeight="true" outlineLevel="0" collapsed="false">
      <c r="A53" s="2" t="n">
        <v>52</v>
      </c>
      <c r="B53" s="3" t="n">
        <v>46197</v>
      </c>
      <c r="C53" s="2" t="s">
        <v>20</v>
      </c>
      <c r="D53" s="2" t="s">
        <v>27</v>
      </c>
      <c r="E53" s="2" t="s">
        <v>29</v>
      </c>
      <c r="F53" s="2" t="s">
        <v>40</v>
      </c>
      <c r="G53" s="4"/>
      <c r="H53" s="4"/>
      <c r="I53" s="5"/>
      <c r="J53" s="5" t="n">
        <f aca="false">X4_X6_Audit!J53</f>
        <v>-0.8</v>
      </c>
      <c r="K53" s="6"/>
      <c r="L53" s="6" t="n">
        <f aca="false">X4_X6_Audit!O53</f>
        <v>0</v>
      </c>
      <c r="M53" s="7" t="n">
        <v>0</v>
      </c>
      <c r="N53" s="8" t="n">
        <v>-17.2</v>
      </c>
      <c r="O53" s="9" t="n">
        <v>3</v>
      </c>
      <c r="P53" s="9" t="n">
        <v>1</v>
      </c>
      <c r="Q53" s="9"/>
      <c r="R53" s="9" t="n">
        <f aca="false">O53-P53</f>
        <v>2</v>
      </c>
      <c r="S53" s="10" t="str">
        <f aca="false">IF(COUNTA(G53:N53)=0,"Not Started",IF(COUNTA(G53:N53)=8,"Complete","In Progress"))</f>
        <v>In Progress</v>
      </c>
      <c r="T53" s="11" t="s">
        <v>24</v>
      </c>
    </row>
    <row r="54" customFormat="false" ht="48" hidden="false" customHeight="true" outlineLevel="0" collapsed="false">
      <c r="A54" s="2" t="n">
        <v>53</v>
      </c>
      <c r="B54" s="3" t="n">
        <v>46197</v>
      </c>
      <c r="C54" s="2" t="s">
        <v>20</v>
      </c>
      <c r="D54" s="2" t="s">
        <v>21</v>
      </c>
      <c r="E54" s="2" t="s">
        <v>26</v>
      </c>
      <c r="F54" s="2" t="s">
        <v>22</v>
      </c>
      <c r="G54" s="4"/>
      <c r="H54" s="4"/>
      <c r="I54" s="5"/>
      <c r="J54" s="5" t="n">
        <f aca="false">X4_X6_Audit!J54</f>
        <v>1.2</v>
      </c>
      <c r="K54" s="6"/>
      <c r="L54" s="6" t="n">
        <f aca="false">X4_X6_Audit!O54</f>
        <v>-0.8</v>
      </c>
      <c r="M54" s="7" t="n">
        <v>0</v>
      </c>
      <c r="N54" s="8" t="n">
        <v>11</v>
      </c>
      <c r="O54" s="9" t="n">
        <v>0</v>
      </c>
      <c r="P54" s="9" t="n">
        <v>3</v>
      </c>
      <c r="Q54" s="9"/>
      <c r="R54" s="9" t="n">
        <f aca="false">O54-P54</f>
        <v>-3</v>
      </c>
      <c r="S54" s="10" t="str">
        <f aca="false">IF(COUNTA(G54:N54)=0,"Not Started",IF(COUNTA(G54:N54)=8,"Complete","In Progress"))</f>
        <v>In Progress</v>
      </c>
      <c r="T54" s="11" t="s">
        <v>24</v>
      </c>
    </row>
    <row r="55" customFormat="false" ht="48" hidden="false" customHeight="true" outlineLevel="0" collapsed="false">
      <c r="A55" s="2" t="n">
        <v>54</v>
      </c>
      <c r="B55" s="3" t="n">
        <v>46197</v>
      </c>
      <c r="C55" s="2" t="s">
        <v>20</v>
      </c>
      <c r="D55" s="2" t="s">
        <v>21</v>
      </c>
      <c r="E55" s="2" t="s">
        <v>23</v>
      </c>
      <c r="F55" s="2" t="s">
        <v>25</v>
      </c>
      <c r="G55" s="4"/>
      <c r="H55" s="4"/>
      <c r="I55" s="5"/>
      <c r="J55" s="5" t="n">
        <f aca="false">X4_X6_Audit!J55</f>
        <v>0.4</v>
      </c>
      <c r="K55" s="6"/>
      <c r="L55" s="6" t="n">
        <f aca="false">X4_X6_Audit!O55</f>
        <v>0</v>
      </c>
      <c r="M55" s="7" t="n">
        <v>0</v>
      </c>
      <c r="N55" s="8" t="n">
        <v>1.8</v>
      </c>
      <c r="O55" s="9" t="n">
        <v>1</v>
      </c>
      <c r="P55" s="9" t="n">
        <v>0</v>
      </c>
      <c r="Q55" s="9"/>
      <c r="R55" s="9" t="n">
        <f aca="false">O55-P55</f>
        <v>1</v>
      </c>
      <c r="S55" s="10" t="str">
        <f aca="false">IF(COUNTA(G55:N55)=0,"Not Started",IF(COUNTA(G55:N55)=8,"Complete","In Progress"))</f>
        <v>In Progress</v>
      </c>
      <c r="T55" s="11" t="s">
        <v>24</v>
      </c>
    </row>
    <row r="56" customFormat="false" ht="48" hidden="false" customHeight="true" outlineLevel="0" collapsed="false">
      <c r="A56" s="2" t="n">
        <v>55</v>
      </c>
      <c r="B56" s="3" t="n">
        <v>46198</v>
      </c>
      <c r="C56" s="2" t="s">
        <v>20</v>
      </c>
      <c r="D56" s="2" t="s">
        <v>42</v>
      </c>
      <c r="E56" s="2" t="s">
        <v>46</v>
      </c>
      <c r="F56" s="2" t="s">
        <v>43</v>
      </c>
      <c r="G56" s="4"/>
      <c r="H56" s="4"/>
      <c r="I56" s="5"/>
      <c r="J56" s="5" t="n">
        <f aca="false">X4_X6_Audit!J56</f>
        <v>2.6</v>
      </c>
      <c r="K56" s="6"/>
      <c r="L56" s="6" t="n">
        <f aca="false">X4_X6_Audit!O56</f>
        <v>-0.2</v>
      </c>
      <c r="M56" s="7" t="n">
        <v>0</v>
      </c>
      <c r="N56" s="8" t="n">
        <v>39.6</v>
      </c>
      <c r="O56" s="9" t="n">
        <v>0</v>
      </c>
      <c r="P56" s="9" t="n">
        <v>2</v>
      </c>
      <c r="Q56" s="9"/>
      <c r="R56" s="9" t="n">
        <f aca="false">O56-P56</f>
        <v>-2</v>
      </c>
      <c r="S56" s="10" t="str">
        <f aca="false">IF(COUNTA(G56:N56)=0,"Not Started",IF(COUNTA(G56:N56)=8,"Complete","In Progress"))</f>
        <v>In Progress</v>
      </c>
      <c r="T56" s="11" t="s">
        <v>24</v>
      </c>
    </row>
    <row r="57" customFormat="false" ht="48" hidden="false" customHeight="true" outlineLevel="0" collapsed="false">
      <c r="A57" s="2" t="n">
        <v>56</v>
      </c>
      <c r="B57" s="3" t="n">
        <v>46198</v>
      </c>
      <c r="C57" s="2" t="s">
        <v>20</v>
      </c>
      <c r="D57" s="2" t="s">
        <v>42</v>
      </c>
      <c r="E57" s="2" t="s">
        <v>44</v>
      </c>
      <c r="F57" s="2" t="s">
        <v>45</v>
      </c>
      <c r="G57" s="4"/>
      <c r="H57" s="4"/>
      <c r="I57" s="5"/>
      <c r="J57" s="5" t="n">
        <f aca="false">X4_X6_Audit!J57</f>
        <v>-0.2</v>
      </c>
      <c r="K57" s="6"/>
      <c r="L57" s="6" t="n">
        <f aca="false">X4_X6_Audit!O57</f>
        <v>0.2</v>
      </c>
      <c r="M57" s="7" t="n">
        <v>0</v>
      </c>
      <c r="N57" s="8" t="n">
        <v>0.6</v>
      </c>
      <c r="O57" s="9" t="n">
        <v>2</v>
      </c>
      <c r="P57" s="9" t="n">
        <v>1</v>
      </c>
      <c r="Q57" s="9"/>
      <c r="R57" s="9" t="n">
        <f aca="false">O57-P57</f>
        <v>1</v>
      </c>
      <c r="S57" s="10" t="str">
        <f aca="false">IF(COUNTA(G57:N57)=0,"Not Started",IF(COUNTA(G57:N57)=8,"Complete","In Progress"))</f>
        <v>In Progress</v>
      </c>
      <c r="T57" s="11" t="s">
        <v>24</v>
      </c>
    </row>
    <row r="58" customFormat="false" ht="48" hidden="false" customHeight="true" outlineLevel="0" collapsed="false">
      <c r="A58" s="2" t="n">
        <v>57</v>
      </c>
      <c r="B58" s="3" t="n">
        <v>46198</v>
      </c>
      <c r="C58" s="2" t="s">
        <v>20</v>
      </c>
      <c r="D58" s="2" t="s">
        <v>47</v>
      </c>
      <c r="E58" s="2" t="s">
        <v>49</v>
      </c>
      <c r="F58" s="2" t="s">
        <v>50</v>
      </c>
      <c r="G58" s="4"/>
      <c r="H58" s="4"/>
      <c r="I58" s="5"/>
      <c r="J58" s="5" t="n">
        <f aca="false">X4_X6_Audit!J58</f>
        <v>-2.2</v>
      </c>
      <c r="K58" s="6"/>
      <c r="L58" s="6" t="n">
        <f aca="false">X4_X6_Audit!O58</f>
        <v>0.8</v>
      </c>
      <c r="M58" s="7" t="n">
        <v>0</v>
      </c>
      <c r="N58" s="8" t="n">
        <v>1</v>
      </c>
      <c r="O58" s="9" t="n">
        <v>1</v>
      </c>
      <c r="P58" s="9" t="n">
        <v>1</v>
      </c>
      <c r="Q58" s="9"/>
      <c r="R58" s="9" t="n">
        <f aca="false">O58-P58</f>
        <v>0</v>
      </c>
      <c r="S58" s="10" t="str">
        <f aca="false">IF(COUNTA(G58:N58)=0,"Not Started",IF(COUNTA(G58:N58)=8,"Complete","In Progress"))</f>
        <v>In Progress</v>
      </c>
      <c r="T58" s="11" t="s">
        <v>24</v>
      </c>
    </row>
    <row r="59" customFormat="false" ht="48" hidden="false" customHeight="true" outlineLevel="0" collapsed="false">
      <c r="A59" s="2" t="n">
        <v>58</v>
      </c>
      <c r="B59" s="3" t="n">
        <v>46198</v>
      </c>
      <c r="C59" s="2" t="s">
        <v>20</v>
      </c>
      <c r="D59" s="2" t="s">
        <v>47</v>
      </c>
      <c r="E59" s="2" t="s">
        <v>51</v>
      </c>
      <c r="F59" s="2" t="s">
        <v>48</v>
      </c>
      <c r="G59" s="4"/>
      <c r="H59" s="4"/>
      <c r="I59" s="5"/>
      <c r="J59" s="5" t="n">
        <f aca="false">X4_X6_Audit!J59</f>
        <v>1.8</v>
      </c>
      <c r="K59" s="6"/>
      <c r="L59" s="6" t="n">
        <f aca="false">X4_X6_Audit!O59</f>
        <v>0.2</v>
      </c>
      <c r="M59" s="7" t="n">
        <v>0</v>
      </c>
      <c r="N59" s="8" t="n">
        <v>-7.8</v>
      </c>
      <c r="O59" s="9" t="n">
        <v>1</v>
      </c>
      <c r="P59" s="9" t="n">
        <v>3</v>
      </c>
      <c r="Q59" s="9"/>
      <c r="R59" s="9" t="n">
        <f aca="false">O59-P59</f>
        <v>-2</v>
      </c>
      <c r="S59" s="10" t="str">
        <f aca="false">IF(COUNTA(G59:N59)=0,"Not Started",IF(COUNTA(G59:N59)=8,"Complete","In Progress"))</f>
        <v>In Progress</v>
      </c>
      <c r="T59" s="11" t="s">
        <v>24</v>
      </c>
    </row>
    <row r="60" customFormat="false" ht="48" hidden="false" customHeight="true" outlineLevel="0" collapsed="false">
      <c r="A60" s="2" t="n">
        <v>59</v>
      </c>
      <c r="B60" s="3" t="n">
        <v>46198</v>
      </c>
      <c r="C60" s="2" t="s">
        <v>20</v>
      </c>
      <c r="D60" s="2" t="s">
        <v>30</v>
      </c>
      <c r="E60" s="2" t="s">
        <v>37</v>
      </c>
      <c r="F60" s="2" t="s">
        <v>31</v>
      </c>
      <c r="G60" s="4"/>
      <c r="H60" s="4"/>
      <c r="I60" s="5"/>
      <c r="J60" s="5" t="n">
        <f aca="false">X4_X6_Audit!J60</f>
        <v>-0.6</v>
      </c>
      <c r="K60" s="6"/>
      <c r="L60" s="6" t="n">
        <f aca="false">X4_X6_Audit!O60</f>
        <v>0.2</v>
      </c>
      <c r="M60" s="7" t="n">
        <v>0</v>
      </c>
      <c r="N60" s="8" t="n">
        <v>33</v>
      </c>
      <c r="O60" s="9" t="n">
        <v>3</v>
      </c>
      <c r="P60" s="9" t="n">
        <v>2</v>
      </c>
      <c r="Q60" s="9"/>
      <c r="R60" s="9" t="n">
        <f aca="false">O60-P60</f>
        <v>1</v>
      </c>
      <c r="S60" s="10" t="str">
        <f aca="false">IF(COUNTA(G60:N60)=0,"Not Started",IF(COUNTA(G60:N60)=8,"Complete","In Progress"))</f>
        <v>In Progress</v>
      </c>
      <c r="T60" s="11" t="s">
        <v>24</v>
      </c>
    </row>
    <row r="61" customFormat="false" ht="48" hidden="false" customHeight="true" outlineLevel="0" collapsed="false">
      <c r="A61" s="2" t="n">
        <v>60</v>
      </c>
      <c r="B61" s="3" t="n">
        <v>46198</v>
      </c>
      <c r="C61" s="2" t="s">
        <v>20</v>
      </c>
      <c r="D61" s="2" t="s">
        <v>30</v>
      </c>
      <c r="E61" s="2" t="s">
        <v>32</v>
      </c>
      <c r="F61" s="2" t="s">
        <v>36</v>
      </c>
      <c r="G61" s="4"/>
      <c r="H61" s="4"/>
      <c r="I61" s="5"/>
      <c r="J61" s="5" t="n">
        <f aca="false">X4_X6_Audit!J61</f>
        <v>0.2</v>
      </c>
      <c r="K61" s="6"/>
      <c r="L61" s="6" t="n">
        <f aca="false">X4_X6_Audit!O61</f>
        <v>0.4</v>
      </c>
      <c r="M61" s="7" t="n">
        <v>0</v>
      </c>
      <c r="N61" s="8" t="n">
        <v>14</v>
      </c>
      <c r="O61" s="9" t="n">
        <v>0</v>
      </c>
      <c r="P61" s="9" t="n">
        <v>0</v>
      </c>
      <c r="Q61" s="9"/>
      <c r="R61" s="9" t="n">
        <f aca="false">O61-P61</f>
        <v>0</v>
      </c>
      <c r="S61" s="10" t="str">
        <f aca="false">IF(COUNTA(G61:N61)=0,"Not Started",IF(COUNTA(G61:N61)=8,"Complete","In Progress"))</f>
        <v>In Progress</v>
      </c>
      <c r="T61" s="11" t="s">
        <v>24</v>
      </c>
    </row>
    <row r="62" customFormat="false" ht="48" hidden="false" customHeight="true" outlineLevel="0" collapsed="false">
      <c r="A62" s="2" t="n">
        <v>61</v>
      </c>
      <c r="B62" s="3" t="n">
        <v>46199</v>
      </c>
      <c r="C62" s="2" t="s">
        <v>20</v>
      </c>
      <c r="D62" s="2" t="s">
        <v>62</v>
      </c>
      <c r="E62" s="2" t="s">
        <v>66</v>
      </c>
      <c r="F62" s="2" t="s">
        <v>63</v>
      </c>
      <c r="G62" s="4"/>
      <c r="H62" s="4"/>
      <c r="I62" s="5"/>
      <c r="J62" s="5" t="n">
        <f aca="false">X4_X6_Audit!J62</f>
        <v>0</v>
      </c>
      <c r="K62" s="6"/>
      <c r="L62" s="6" t="n">
        <f aca="false">X4_X6_Audit!O62</f>
        <v>0</v>
      </c>
      <c r="M62" s="7" t="n">
        <v>0</v>
      </c>
      <c r="N62" s="8" t="n">
        <v>-10.8</v>
      </c>
      <c r="O62" s="9" t="n">
        <v>1</v>
      </c>
      <c r="P62" s="9" t="n">
        <v>4</v>
      </c>
      <c r="Q62" s="9"/>
      <c r="R62" s="9" t="n">
        <f aca="false">O62-P62</f>
        <v>-3</v>
      </c>
      <c r="S62" s="10" t="str">
        <f aca="false">IF(COUNTA(G62:N62)=0,"Not Started",IF(COUNTA(G62:N62)=8,"Complete","In Progress"))</f>
        <v>In Progress</v>
      </c>
      <c r="T62" s="11" t="s">
        <v>24</v>
      </c>
    </row>
    <row r="63" customFormat="false" ht="48" hidden="false" customHeight="true" outlineLevel="0" collapsed="false">
      <c r="A63" s="2" t="n">
        <v>62</v>
      </c>
      <c r="B63" s="3" t="n">
        <v>46199</v>
      </c>
      <c r="C63" s="2" t="s">
        <v>20</v>
      </c>
      <c r="D63" s="2" t="s">
        <v>62</v>
      </c>
      <c r="E63" s="2" t="s">
        <v>64</v>
      </c>
      <c r="F63" s="2" t="s">
        <v>65</v>
      </c>
      <c r="G63" s="4"/>
      <c r="H63" s="4"/>
      <c r="I63" s="5"/>
      <c r="J63" s="5" t="n">
        <f aca="false">X4_X6_Audit!J63</f>
        <v>0</v>
      </c>
      <c r="K63" s="6"/>
      <c r="L63" s="6" t="n">
        <f aca="false">X4_X6_Audit!O63</f>
        <v>0</v>
      </c>
      <c r="M63" s="7" t="n">
        <v>0</v>
      </c>
      <c r="N63" s="8" t="n">
        <v>-6.2</v>
      </c>
      <c r="O63" s="9" t="n">
        <v>5</v>
      </c>
      <c r="P63" s="9" t="n">
        <v>0</v>
      </c>
      <c r="Q63" s="9"/>
      <c r="R63" s="9" t="n">
        <f aca="false">O63-P63</f>
        <v>5</v>
      </c>
      <c r="S63" s="10" t="str">
        <f aca="false">IF(COUNTA(G63:N63)=0,"Not Started",IF(COUNTA(G63:N63)=8,"Complete","In Progress"))</f>
        <v>In Progress</v>
      </c>
      <c r="T63" s="11" t="s">
        <v>24</v>
      </c>
    </row>
    <row r="64" customFormat="false" ht="48" hidden="false" customHeight="true" outlineLevel="0" collapsed="false">
      <c r="A64" s="2" t="n">
        <v>63</v>
      </c>
      <c r="B64" s="3" t="n">
        <v>46199</v>
      </c>
      <c r="C64" s="2" t="s">
        <v>20</v>
      </c>
      <c r="D64" s="2" t="s">
        <v>57</v>
      </c>
      <c r="E64" s="2" t="s">
        <v>61</v>
      </c>
      <c r="F64" s="2" t="s">
        <v>58</v>
      </c>
      <c r="G64" s="4"/>
      <c r="H64" s="4"/>
      <c r="I64" s="5"/>
      <c r="J64" s="5" t="n">
        <f aca="false">X4_X6_Audit!J64</f>
        <v>0.2</v>
      </c>
      <c r="K64" s="6"/>
      <c r="L64" s="6" t="n">
        <f aca="false">X4_X6_Audit!O64</f>
        <v>-0.2</v>
      </c>
      <c r="M64" s="7" t="n">
        <v>0</v>
      </c>
      <c r="N64" s="8" t="n">
        <v>-35.2</v>
      </c>
      <c r="O64" s="9" t="n">
        <v>1</v>
      </c>
      <c r="P64" s="9" t="n">
        <v>1</v>
      </c>
      <c r="Q64" s="9"/>
      <c r="R64" s="9" t="n">
        <f aca="false">O64-P64</f>
        <v>0</v>
      </c>
      <c r="S64" s="10" t="str">
        <f aca="false">IF(COUNTA(G64:N64)=0,"Not Started",IF(COUNTA(G64:N64)=8,"Complete","In Progress"))</f>
        <v>In Progress</v>
      </c>
      <c r="T64" s="11" t="s">
        <v>24</v>
      </c>
    </row>
    <row r="65" customFormat="false" ht="48" hidden="false" customHeight="true" outlineLevel="0" collapsed="false">
      <c r="A65" s="2" t="n">
        <v>64</v>
      </c>
      <c r="B65" s="3" t="n">
        <v>46199</v>
      </c>
      <c r="C65" s="2" t="s">
        <v>20</v>
      </c>
      <c r="D65" s="2" t="s">
        <v>57</v>
      </c>
      <c r="E65" s="2" t="s">
        <v>59</v>
      </c>
      <c r="F65" s="2" t="s">
        <v>60</v>
      </c>
      <c r="G65" s="4"/>
      <c r="H65" s="4"/>
      <c r="I65" s="5"/>
      <c r="J65" s="5" t="n">
        <f aca="false">X4_X6_Audit!J65</f>
        <v>1.8</v>
      </c>
      <c r="K65" s="6"/>
      <c r="L65" s="6" t="n">
        <f aca="false">X4_X6_Audit!O65</f>
        <v>-0.6</v>
      </c>
      <c r="M65" s="7" t="n">
        <v>0</v>
      </c>
      <c r="N65" s="8" t="n">
        <v>14.2</v>
      </c>
      <c r="O65" s="9" t="n">
        <v>1</v>
      </c>
      <c r="P65" s="9" t="n">
        <v>5</v>
      </c>
      <c r="Q65" s="9"/>
      <c r="R65" s="9" t="n">
        <f aca="false">O65-P65</f>
        <v>-4</v>
      </c>
      <c r="S65" s="10" t="str">
        <f aca="false">IF(COUNTA(G65:N65)=0,"Not Started",IF(COUNTA(G65:N65)=8,"Complete","In Progress"))</f>
        <v>In Progress</v>
      </c>
      <c r="T65" s="11" t="s">
        <v>24</v>
      </c>
    </row>
    <row r="66" customFormat="false" ht="48" hidden="false" customHeight="true" outlineLevel="0" collapsed="false">
      <c r="A66" s="2" t="n">
        <v>65</v>
      </c>
      <c r="B66" s="3" t="n">
        <v>46199</v>
      </c>
      <c r="C66" s="2" t="s">
        <v>20</v>
      </c>
      <c r="D66" s="2" t="s">
        <v>52</v>
      </c>
      <c r="E66" s="2" t="s">
        <v>56</v>
      </c>
      <c r="F66" s="2" t="s">
        <v>53</v>
      </c>
      <c r="G66" s="4"/>
      <c r="H66" s="4"/>
      <c r="I66" s="5"/>
      <c r="J66" s="5" t="n">
        <f aca="false">X4_X6_Audit!J66</f>
        <v>-0.2</v>
      </c>
      <c r="K66" s="6"/>
      <c r="L66" s="6" t="n">
        <f aca="false">X4_X6_Audit!O66</f>
        <v>0</v>
      </c>
      <c r="M66" s="7" t="n">
        <v>0</v>
      </c>
      <c r="N66" s="8" t="n">
        <v>17.4</v>
      </c>
      <c r="O66" s="9" t="n">
        <v>0</v>
      </c>
      <c r="P66" s="9" t="n">
        <v>0</v>
      </c>
      <c r="Q66" s="9"/>
      <c r="R66" s="9" t="n">
        <f aca="false">O66-P66</f>
        <v>0</v>
      </c>
      <c r="S66" s="10" t="str">
        <f aca="false">IF(COUNTA(G66:N66)=0,"Not Started",IF(COUNTA(G66:N66)=8,"Complete","In Progress"))</f>
        <v>In Progress</v>
      </c>
      <c r="T66" s="11" t="s">
        <v>24</v>
      </c>
    </row>
    <row r="67" customFormat="false" ht="48" hidden="false" customHeight="true" outlineLevel="0" collapsed="false">
      <c r="A67" s="2" t="n">
        <v>66</v>
      </c>
      <c r="B67" s="3" t="n">
        <v>46199</v>
      </c>
      <c r="C67" s="2" t="s">
        <v>20</v>
      </c>
      <c r="D67" s="2" t="s">
        <v>52</v>
      </c>
      <c r="E67" s="2" t="s">
        <v>54</v>
      </c>
      <c r="F67" s="2" t="s">
        <v>55</v>
      </c>
      <c r="G67" s="4"/>
      <c r="H67" s="4"/>
      <c r="I67" s="5"/>
      <c r="J67" s="5" t="n">
        <f aca="false">X4_X6_Audit!J67</f>
        <v>1.4</v>
      </c>
      <c r="K67" s="6"/>
      <c r="L67" s="6" t="n">
        <f aca="false">X4_X6_Audit!O67</f>
        <v>-0.4</v>
      </c>
      <c r="M67" s="7" t="n">
        <v>0</v>
      </c>
      <c r="N67" s="8" t="n">
        <v>-18.6</v>
      </c>
      <c r="O67" s="9" t="n">
        <v>0</v>
      </c>
      <c r="P67" s="9" t="n">
        <v>1</v>
      </c>
      <c r="Q67" s="9"/>
      <c r="R67" s="9" t="n">
        <f aca="false">O67-P67</f>
        <v>-1</v>
      </c>
      <c r="S67" s="10" t="str">
        <f aca="false">IF(COUNTA(G67:N67)=0,"Not Started",IF(COUNTA(G67:N67)=8,"Complete","In Progress"))</f>
        <v>In Progress</v>
      </c>
      <c r="T67" s="11" t="s">
        <v>24</v>
      </c>
    </row>
    <row r="68" customFormat="false" ht="48" hidden="false" customHeight="true" outlineLevel="0" collapsed="false">
      <c r="A68" s="2" t="n">
        <v>67</v>
      </c>
      <c r="B68" s="3" t="n">
        <v>46200</v>
      </c>
      <c r="C68" s="2" t="s">
        <v>20</v>
      </c>
      <c r="D68" s="2" t="s">
        <v>72</v>
      </c>
      <c r="E68" s="2" t="s">
        <v>74</v>
      </c>
      <c r="F68" s="2" t="s">
        <v>75</v>
      </c>
      <c r="G68" s="4"/>
      <c r="H68" s="4"/>
      <c r="I68" s="5"/>
      <c r="J68" s="5" t="n">
        <f aca="false">X4_X6_Audit!J68</f>
        <v>1.6</v>
      </c>
      <c r="K68" s="6"/>
      <c r="L68" s="6" t="n">
        <f aca="false">X4_X6_Audit!O68</f>
        <v>-0.6</v>
      </c>
      <c r="M68" s="7" t="n">
        <v>0</v>
      </c>
      <c r="N68" s="8" t="n">
        <v>11.8</v>
      </c>
      <c r="O68" s="9" t="n">
        <v>0</v>
      </c>
      <c r="P68" s="9" t="n">
        <v>2</v>
      </c>
      <c r="Q68" s="9"/>
      <c r="R68" s="9" t="n">
        <f aca="false">O68-P68</f>
        <v>-2</v>
      </c>
      <c r="S68" s="10" t="str">
        <f aca="false">IF(COUNTA(G68:N68)=0,"Not Started",IF(COUNTA(G68:N68)=8,"Complete","In Progress"))</f>
        <v>In Progress</v>
      </c>
      <c r="T68" s="11" t="s">
        <v>24</v>
      </c>
    </row>
    <row r="69" customFormat="false" ht="48" hidden="false" customHeight="true" outlineLevel="0" collapsed="false">
      <c r="A69" s="2" t="n">
        <v>68</v>
      </c>
      <c r="B69" s="3" t="n">
        <v>46200</v>
      </c>
      <c r="C69" s="2" t="s">
        <v>20</v>
      </c>
      <c r="D69" s="2" t="s">
        <v>72</v>
      </c>
      <c r="E69" s="2" t="s">
        <v>76</v>
      </c>
      <c r="F69" s="2" t="s">
        <v>73</v>
      </c>
      <c r="G69" s="4"/>
      <c r="H69" s="4"/>
      <c r="I69" s="5"/>
      <c r="J69" s="5" t="n">
        <f aca="false">X4_X6_Audit!J69</f>
        <v>1</v>
      </c>
      <c r="K69" s="6"/>
      <c r="L69" s="6" t="n">
        <f aca="false">X4_X6_Audit!O69</f>
        <v>-0.2</v>
      </c>
      <c r="M69" s="7" t="n">
        <v>0</v>
      </c>
      <c r="N69" s="8" t="n">
        <v>2</v>
      </c>
      <c r="O69" s="9" t="n">
        <v>2</v>
      </c>
      <c r="P69" s="9" t="n">
        <v>1</v>
      </c>
      <c r="Q69" s="9"/>
      <c r="R69" s="9" t="n">
        <f aca="false">O69-P69</f>
        <v>1</v>
      </c>
      <c r="S69" s="10" t="str">
        <f aca="false">IF(COUNTA(G69:N69)=0,"Not Started",IF(COUNTA(G69:N69)=8,"Complete","In Progress"))</f>
        <v>In Progress</v>
      </c>
      <c r="T69" s="11" t="s">
        <v>24</v>
      </c>
    </row>
    <row r="70" customFormat="false" ht="48" hidden="false" customHeight="true" outlineLevel="0" collapsed="false">
      <c r="A70" s="2" t="n">
        <v>69</v>
      </c>
      <c r="B70" s="3" t="n">
        <v>46200</v>
      </c>
      <c r="C70" s="2" t="s">
        <v>20</v>
      </c>
      <c r="D70" s="2" t="s">
        <v>67</v>
      </c>
      <c r="E70" s="2" t="s">
        <v>69</v>
      </c>
      <c r="F70" s="2" t="s">
        <v>70</v>
      </c>
      <c r="G70" s="4"/>
      <c r="H70" s="4"/>
      <c r="I70" s="5"/>
      <c r="J70" s="5" t="n">
        <f aca="false">X4_X6_Audit!J70</f>
        <v>0</v>
      </c>
      <c r="K70" s="6"/>
      <c r="L70" s="6" t="n">
        <f aca="false">X4_X6_Audit!O70</f>
        <v>0.2</v>
      </c>
      <c r="M70" s="7" t="n">
        <v>0</v>
      </c>
      <c r="N70" s="8" t="n">
        <v>-7.6</v>
      </c>
      <c r="O70" s="9" t="n">
        <v>3</v>
      </c>
      <c r="P70" s="9" t="n">
        <v>3</v>
      </c>
      <c r="Q70" s="9"/>
      <c r="R70" s="9" t="n">
        <f aca="false">O70-P70</f>
        <v>0</v>
      </c>
      <c r="S70" s="10" t="str">
        <f aca="false">IF(COUNTA(G70:N70)=0,"Not Started",IF(COUNTA(G70:N70)=8,"Complete","In Progress"))</f>
        <v>In Progress</v>
      </c>
      <c r="T70" s="11" t="s">
        <v>24</v>
      </c>
    </row>
    <row r="71" customFormat="false" ht="48" hidden="false" customHeight="true" outlineLevel="0" collapsed="false">
      <c r="A71" s="2" t="n">
        <v>70</v>
      </c>
      <c r="B71" s="3" t="n">
        <v>46200</v>
      </c>
      <c r="C71" s="2" t="s">
        <v>20</v>
      </c>
      <c r="D71" s="2" t="s">
        <v>67</v>
      </c>
      <c r="E71" s="2" t="s">
        <v>71</v>
      </c>
      <c r="F71" s="2" t="s">
        <v>68</v>
      </c>
      <c r="G71" s="4"/>
      <c r="H71" s="4"/>
      <c r="I71" s="5"/>
      <c r="J71" s="5" t="n">
        <f aca="false">X4_X6_Audit!J71</f>
        <v>2.6</v>
      </c>
      <c r="K71" s="6"/>
      <c r="L71" s="6" t="n">
        <f aca="false">X4_X6_Audit!O71</f>
        <v>-1</v>
      </c>
      <c r="M71" s="7" t="n">
        <v>0</v>
      </c>
      <c r="N71" s="8" t="n">
        <v>-34.8</v>
      </c>
      <c r="O71" s="9" t="n">
        <v>1</v>
      </c>
      <c r="P71" s="9" t="n">
        <v>3</v>
      </c>
      <c r="Q71" s="9"/>
      <c r="R71" s="9" t="n">
        <f aca="false">O71-P71</f>
        <v>-2</v>
      </c>
      <c r="S71" s="10" t="str">
        <f aca="false">IF(COUNTA(G71:N71)=0,"Not Started",IF(COUNTA(G71:N71)=8,"Complete","In Progress"))</f>
        <v>In Progress</v>
      </c>
      <c r="T71" s="11" t="s">
        <v>24</v>
      </c>
    </row>
    <row r="72" customFormat="false" ht="48" hidden="false" customHeight="true" outlineLevel="0" collapsed="false">
      <c r="A72" s="2" t="n">
        <v>71</v>
      </c>
      <c r="B72" s="3" t="n">
        <v>46200</v>
      </c>
      <c r="C72" s="2" t="s">
        <v>20</v>
      </c>
      <c r="D72" s="2" t="s">
        <v>77</v>
      </c>
      <c r="E72" s="2" t="s">
        <v>81</v>
      </c>
      <c r="F72" s="2" t="s">
        <v>78</v>
      </c>
      <c r="G72" s="4"/>
      <c r="H72" s="4"/>
      <c r="I72" s="5"/>
      <c r="J72" s="5" t="n">
        <f aca="false">X4_X6_Audit!J72</f>
        <v>0.4</v>
      </c>
      <c r="K72" s="6"/>
      <c r="L72" s="6" t="n">
        <f aca="false">X4_X6_Audit!O72</f>
        <v>0</v>
      </c>
      <c r="M72" s="7" t="n">
        <v>0</v>
      </c>
      <c r="N72" s="8" t="n">
        <v>4.4</v>
      </c>
      <c r="O72" s="9" t="n">
        <v>0</v>
      </c>
      <c r="P72" s="9" t="n">
        <v>0</v>
      </c>
      <c r="Q72" s="9"/>
      <c r="R72" s="9" t="n">
        <f aca="false">O72-P72</f>
        <v>0</v>
      </c>
      <c r="S72" s="10" t="str">
        <f aca="false">IF(COUNTA(G72:N72)=0,"Not Started",IF(COUNTA(G72:N72)=8,"Complete","In Progress"))</f>
        <v>In Progress</v>
      </c>
      <c r="T72" s="11" t="s">
        <v>24</v>
      </c>
    </row>
    <row r="73" customFormat="false" ht="48" hidden="false" customHeight="true" outlineLevel="0" collapsed="false">
      <c r="A73" s="2" t="n">
        <v>72</v>
      </c>
      <c r="B73" s="3" t="n">
        <v>46200</v>
      </c>
      <c r="C73" s="2" t="s">
        <v>20</v>
      </c>
      <c r="D73" s="2" t="s">
        <v>77</v>
      </c>
      <c r="E73" s="2" t="s">
        <v>79</v>
      </c>
      <c r="F73" s="2" t="s">
        <v>80</v>
      </c>
      <c r="G73" s="4"/>
      <c r="H73" s="4"/>
      <c r="I73" s="5"/>
      <c r="J73" s="5" t="n">
        <f aca="false">X4_X6_Audit!J73</f>
        <v>-1.6</v>
      </c>
      <c r="K73" s="6"/>
      <c r="L73" s="6" t="n">
        <f aca="false">X4_X6_Audit!O73</f>
        <v>0.2</v>
      </c>
      <c r="M73" s="7" t="n">
        <v>0</v>
      </c>
      <c r="N73" s="8" t="n">
        <v>11.4</v>
      </c>
      <c r="O73" s="9" t="n">
        <v>3</v>
      </c>
      <c r="P73" s="9" t="n">
        <v>1</v>
      </c>
      <c r="Q73" s="9"/>
      <c r="R73" s="9" t="n">
        <f aca="false">O73-P73</f>
        <v>2</v>
      </c>
      <c r="S73" s="10" t="str">
        <f aca="false">IF(COUNTA(G73:N73)=0,"Not Started",IF(COUNTA(G73:N73)=8,"Complete","In Progress"))</f>
        <v>In Progress</v>
      </c>
      <c r="T73" s="11" t="s">
        <v>24</v>
      </c>
    </row>
    <row r="74" customFormat="false" ht="48" hidden="false" customHeight="true" outlineLevel="0" collapsed="false">
      <c r="A74" s="2" t="n">
        <v>73</v>
      </c>
      <c r="B74" s="3" t="n">
        <v>46201</v>
      </c>
      <c r="C74" s="2" t="s">
        <v>82</v>
      </c>
      <c r="D74" s="2"/>
      <c r="E74" s="2" t="s">
        <v>23</v>
      </c>
      <c r="F74" s="2" t="s">
        <v>28</v>
      </c>
      <c r="G74" s="4"/>
      <c r="H74" s="4"/>
      <c r="I74" s="5"/>
      <c r="J74" s="5" t="n">
        <f aca="false">X4_X6_Audit!J74</f>
        <v>-0.2</v>
      </c>
      <c r="K74" s="6"/>
      <c r="L74" s="6" t="n">
        <f aca="false">X4_X6_Audit!O74</f>
        <v>0.2</v>
      </c>
      <c r="M74" s="7" t="n">
        <v>0</v>
      </c>
      <c r="N74" s="8" t="n">
        <v>6.6</v>
      </c>
      <c r="O74" s="9" t="n">
        <v>0</v>
      </c>
      <c r="P74" s="9" t="n">
        <v>1</v>
      </c>
      <c r="Q74" s="9"/>
      <c r="R74" s="9" t="n">
        <f aca="false">O74-P74</f>
        <v>-1</v>
      </c>
      <c r="S74" s="10" t="str">
        <f aca="false">IF(COUNTA(G74:N74)=0,"Not Started",IF(COUNTA(G74:N74)=8,"Complete","In Progress"))</f>
        <v>In Progress</v>
      </c>
      <c r="T74" s="11" t="s">
        <v>83</v>
      </c>
    </row>
    <row r="75" customFormat="false" ht="48" hidden="false" customHeight="true" outlineLevel="0" collapsed="false">
      <c r="A75" s="2" t="n">
        <v>74</v>
      </c>
      <c r="B75" s="3" t="n">
        <v>46202</v>
      </c>
      <c r="C75" s="2" t="s">
        <v>82</v>
      </c>
      <c r="D75" s="2"/>
      <c r="E75" s="2" t="s">
        <v>45</v>
      </c>
      <c r="F75" s="2" t="s">
        <v>32</v>
      </c>
      <c r="G75" s="4"/>
      <c r="H75" s="4"/>
      <c r="I75" s="5"/>
      <c r="J75" s="5" t="n">
        <f aca="false">X4_X6_Audit!J75</f>
        <v>-0.2</v>
      </c>
      <c r="K75" s="6"/>
      <c r="L75" s="6" t="n">
        <f aca="false">X4_X6_Audit!O75</f>
        <v>-0.4</v>
      </c>
      <c r="M75" s="7" t="n">
        <v>0</v>
      </c>
      <c r="N75" s="8" t="n">
        <v>4.4</v>
      </c>
      <c r="O75" s="9" t="n">
        <v>1</v>
      </c>
      <c r="P75" s="9" t="n">
        <v>1</v>
      </c>
      <c r="Q75" s="9" t="s">
        <v>84</v>
      </c>
      <c r="R75" s="9" t="n">
        <f aca="false">O75-P75</f>
        <v>0</v>
      </c>
      <c r="S75" s="10" t="str">
        <f aca="false">IF(COUNTA(G75:N75)=0,"Not Started",IF(COUNTA(G75:N75)=8,"Complete","In Progress"))</f>
        <v>In Progress</v>
      </c>
      <c r="T75" s="11" t="s">
        <v>83</v>
      </c>
    </row>
    <row r="76" customFormat="false" ht="48" hidden="false" customHeight="true" outlineLevel="0" collapsed="false">
      <c r="A76" s="2" t="n">
        <v>75</v>
      </c>
      <c r="B76" s="3" t="n">
        <v>46202</v>
      </c>
      <c r="C76" s="2" t="s">
        <v>82</v>
      </c>
      <c r="D76" s="2"/>
      <c r="E76" s="2" t="s">
        <v>48</v>
      </c>
      <c r="F76" s="2" t="s">
        <v>39</v>
      </c>
      <c r="G76" s="4"/>
      <c r="H76" s="4"/>
      <c r="I76" s="5"/>
      <c r="J76" s="5" t="n">
        <f aca="false">X4_X6_Audit!J76</f>
        <v>0.4</v>
      </c>
      <c r="K76" s="6"/>
      <c r="L76" s="6" t="n">
        <f aca="false">X4_X6_Audit!O76</f>
        <v>-0.4</v>
      </c>
      <c r="M76" s="7" t="n">
        <v>-1</v>
      </c>
      <c r="N76" s="8" t="n">
        <v>-17.4</v>
      </c>
      <c r="O76" s="9" t="n">
        <v>1</v>
      </c>
      <c r="P76" s="9" t="n">
        <v>1</v>
      </c>
      <c r="Q76" s="9" t="s">
        <v>85</v>
      </c>
      <c r="R76" s="9" t="n">
        <f aca="false">O76-P76</f>
        <v>0</v>
      </c>
      <c r="S76" s="10" t="str">
        <f aca="false">IF(COUNTA(G76:N76)=0,"Not Started",IF(COUNTA(G76:N76)=8,"Complete","In Progress"))</f>
        <v>In Progress</v>
      </c>
      <c r="T76" s="11" t="s">
        <v>83</v>
      </c>
    </row>
    <row r="77" customFormat="false" ht="48" hidden="false" customHeight="true" outlineLevel="0" collapsed="false">
      <c r="A77" s="2" t="n">
        <v>76</v>
      </c>
      <c r="B77" s="3" t="n">
        <v>46202</v>
      </c>
      <c r="C77" s="2" t="s">
        <v>82</v>
      </c>
      <c r="D77" s="2"/>
      <c r="E77" s="2" t="s">
        <v>38</v>
      </c>
      <c r="F77" s="2" t="s">
        <v>49</v>
      </c>
      <c r="G77" s="4"/>
      <c r="H77" s="4"/>
      <c r="I77" s="5"/>
      <c r="J77" s="5" t="n">
        <f aca="false">X4_X6_Audit!J77</f>
        <v>0.2</v>
      </c>
      <c r="K77" s="6"/>
      <c r="L77" s="6" t="n">
        <f aca="false">X4_X6_Audit!O77</f>
        <v>-0.2</v>
      </c>
      <c r="M77" s="7" t="n">
        <v>1</v>
      </c>
      <c r="N77" s="8" t="n">
        <v>4.8</v>
      </c>
      <c r="O77" s="9" t="n">
        <v>2</v>
      </c>
      <c r="P77" s="9" t="n">
        <v>1</v>
      </c>
      <c r="Q77" s="9"/>
      <c r="R77" s="9" t="n">
        <f aca="false">O77-P77</f>
        <v>1</v>
      </c>
      <c r="S77" s="10" t="str">
        <f aca="false">IF(COUNTA(G77:N77)=0,"Not Started",IF(COUNTA(G77:N77)=8,"Complete","In Progress"))</f>
        <v>In Progress</v>
      </c>
      <c r="T77" s="11" t="s">
        <v>83</v>
      </c>
    </row>
    <row r="78" customFormat="false" ht="48" hidden="false" customHeight="true" outlineLevel="0" collapsed="false">
      <c r="A78" s="2" t="n">
        <v>77</v>
      </c>
      <c r="B78" s="3" t="n">
        <v>46203</v>
      </c>
      <c r="C78" s="2" t="s">
        <v>82</v>
      </c>
      <c r="D78" s="2"/>
      <c r="E78" s="2" t="s">
        <v>63</v>
      </c>
      <c r="F78" s="2" t="s">
        <v>50</v>
      </c>
      <c r="G78" s="4"/>
      <c r="H78" s="4"/>
      <c r="I78" s="5"/>
      <c r="J78" s="5" t="n">
        <f aca="false">X4_X6_Audit!J78</f>
        <v>-1.4</v>
      </c>
      <c r="K78" s="6"/>
      <c r="L78" s="6" t="n">
        <f aca="false">X4_X6_Audit!O78</f>
        <v>0.2</v>
      </c>
      <c r="M78" s="7" t="n">
        <v>-1</v>
      </c>
      <c r="N78" s="8" t="n">
        <v>11.6</v>
      </c>
      <c r="O78" s="9" t="n">
        <v>3</v>
      </c>
      <c r="P78" s="9" t="n">
        <v>0</v>
      </c>
      <c r="Q78" s="9"/>
      <c r="R78" s="9" t="n">
        <f aca="false">O78-P78</f>
        <v>3</v>
      </c>
      <c r="S78" s="10" t="str">
        <f aca="false">IF(COUNTA(G78:N78)=0,"Not Started",IF(COUNTA(G78:N78)=8,"Complete","In Progress"))</f>
        <v>In Progress</v>
      </c>
      <c r="T78" s="11" t="s">
        <v>83</v>
      </c>
    </row>
    <row r="79" customFormat="false" ht="48" hidden="false" customHeight="true" outlineLevel="0" collapsed="false">
      <c r="A79" s="2" t="n">
        <v>78</v>
      </c>
      <c r="B79" s="3" t="n">
        <v>46203</v>
      </c>
      <c r="C79" s="2" t="s">
        <v>82</v>
      </c>
      <c r="D79" s="2"/>
      <c r="E79" s="2" t="s">
        <v>43</v>
      </c>
      <c r="F79" s="2" t="s">
        <v>66</v>
      </c>
      <c r="G79" s="4"/>
      <c r="H79" s="4"/>
      <c r="I79" s="5"/>
      <c r="J79" s="5" t="n">
        <f aca="false">X4_X6_Audit!J79</f>
        <v>-1.2</v>
      </c>
      <c r="K79" s="6"/>
      <c r="L79" s="6" t="n">
        <f aca="false">X4_X6_Audit!O79</f>
        <v>0.6</v>
      </c>
      <c r="M79" s="7" t="n">
        <v>1</v>
      </c>
      <c r="N79" s="8" t="n">
        <v>6.6</v>
      </c>
      <c r="O79" s="9" t="n">
        <v>1</v>
      </c>
      <c r="P79" s="9" t="n">
        <v>2</v>
      </c>
      <c r="Q79" s="9"/>
      <c r="R79" s="9" t="n">
        <f aca="false">O79-P79</f>
        <v>-1</v>
      </c>
      <c r="S79" s="10" t="str">
        <f aca="false">IF(COUNTA(G79:N79)=0,"Not Started",IF(COUNTA(G79:N79)=8,"Complete","In Progress"))</f>
        <v>In Progress</v>
      </c>
      <c r="T79" s="11" t="s">
        <v>83</v>
      </c>
    </row>
    <row r="80" customFormat="false" ht="48" hidden="false" customHeight="true" outlineLevel="0" collapsed="false">
      <c r="A80" s="2" t="n">
        <v>79</v>
      </c>
      <c r="B80" s="3" t="n">
        <v>46203</v>
      </c>
      <c r="C80" s="2" t="s">
        <v>82</v>
      </c>
      <c r="D80" s="2"/>
      <c r="E80" s="2" t="s">
        <v>22</v>
      </c>
      <c r="F80" s="2" t="s">
        <v>44</v>
      </c>
      <c r="G80" s="4"/>
      <c r="H80" s="4"/>
      <c r="I80" s="5"/>
      <c r="J80" s="5" t="n">
        <f aca="false">X4_X6_Audit!J80</f>
        <v>-0.4</v>
      </c>
      <c r="K80" s="6"/>
      <c r="L80" s="6" t="n">
        <f aca="false">X4_X6_Audit!O80</f>
        <v>0.4</v>
      </c>
      <c r="M80" s="7" t="n">
        <v>1</v>
      </c>
      <c r="N80" s="8" t="n">
        <v>-18.2</v>
      </c>
      <c r="O80" s="9" t="n">
        <v>2</v>
      </c>
      <c r="P80" s="9" t="n">
        <v>0</v>
      </c>
      <c r="Q80" s="9"/>
      <c r="R80" s="9" t="n">
        <f aca="false">O80-P80</f>
        <v>2</v>
      </c>
      <c r="S80" s="10" t="str">
        <f aca="false">IF(COUNTA(G80:N80)=0,"Not Started",IF(COUNTA(G80:N80)=8,"Complete","In Progress"))</f>
        <v>In Progress</v>
      </c>
      <c r="T80" s="11" t="s">
        <v>83</v>
      </c>
    </row>
    <row r="81" customFormat="false" ht="48" hidden="false" customHeight="true" outlineLevel="0" collapsed="false">
      <c r="A81" s="2" t="n">
        <v>80</v>
      </c>
      <c r="B81" s="3" t="n">
        <v>46204</v>
      </c>
      <c r="C81" s="2" t="s">
        <v>82</v>
      </c>
      <c r="D81" s="2"/>
      <c r="E81" s="2" t="s">
        <v>75</v>
      </c>
      <c r="F81" s="2" t="s">
        <v>79</v>
      </c>
      <c r="G81" s="4"/>
      <c r="H81" s="4"/>
      <c r="I81" s="5"/>
      <c r="J81" s="5" t="n">
        <f aca="false">X4_X6_Audit!J81</f>
        <v>-0.6</v>
      </c>
      <c r="K81" s="6"/>
      <c r="L81" s="6" t="n">
        <f aca="false">X4_X6_Audit!O81</f>
        <v>0.6</v>
      </c>
      <c r="M81" s="7" t="n">
        <v>0</v>
      </c>
      <c r="N81" s="8" t="n">
        <v>22.4</v>
      </c>
      <c r="O81" s="9" t="n">
        <v>2</v>
      </c>
      <c r="P81" s="9" t="n">
        <v>1</v>
      </c>
      <c r="Q81" s="9"/>
      <c r="R81" s="9" t="n">
        <f aca="false">O81-P81</f>
        <v>1</v>
      </c>
      <c r="S81" s="10" t="str">
        <f aca="false">IF(COUNTA(G81:N81)=0,"Not Started",IF(COUNTA(G81:N81)=8,"Complete","In Progress"))</f>
        <v>In Progress</v>
      </c>
      <c r="T81" s="11" t="s">
        <v>83</v>
      </c>
    </row>
    <row r="82" customFormat="false" ht="48" hidden="false" customHeight="true" outlineLevel="0" collapsed="false">
      <c r="A82" s="2" t="n">
        <v>81</v>
      </c>
      <c r="B82" s="3" t="n">
        <v>46204</v>
      </c>
      <c r="C82" s="2" t="s">
        <v>82</v>
      </c>
      <c r="D82" s="2"/>
      <c r="E82" s="2" t="s">
        <v>31</v>
      </c>
      <c r="F82" s="2" t="s">
        <v>29</v>
      </c>
      <c r="G82" s="4"/>
      <c r="H82" s="4"/>
      <c r="I82" s="5"/>
      <c r="J82" s="5" t="n">
        <f aca="false">X4_X6_Audit!J82</f>
        <v>0.2</v>
      </c>
      <c r="K82" s="6"/>
      <c r="L82" s="6" t="n">
        <f aca="false">X4_X6_Audit!O82</f>
        <v>0</v>
      </c>
      <c r="M82" s="7" t="n">
        <v>-1</v>
      </c>
      <c r="N82" s="8" t="n">
        <v>-18.2</v>
      </c>
      <c r="O82" s="9" t="n">
        <v>2</v>
      </c>
      <c r="P82" s="9" t="n">
        <v>0</v>
      </c>
      <c r="Q82" s="9"/>
      <c r="R82" s="9" t="n">
        <f aca="false">O82-P82</f>
        <v>2</v>
      </c>
      <c r="S82" s="10" t="str">
        <f aca="false">IF(COUNTA(G82:N82)=0,"Not Started",IF(COUNTA(G82:N82)=8,"Complete","In Progress"))</f>
        <v>In Progress</v>
      </c>
      <c r="T82" s="11" t="s">
        <v>83</v>
      </c>
    </row>
    <row r="83" customFormat="false" ht="48" hidden="false" customHeight="true" outlineLevel="0" collapsed="false">
      <c r="A83" s="2" t="n">
        <v>82</v>
      </c>
      <c r="B83" s="3" t="n">
        <v>46204</v>
      </c>
      <c r="C83" s="2" t="s">
        <v>82</v>
      </c>
      <c r="D83" s="2"/>
      <c r="E83" s="2" t="s">
        <v>60</v>
      </c>
      <c r="F83" s="2" t="s">
        <v>64</v>
      </c>
      <c r="G83" s="4"/>
      <c r="H83" s="4"/>
      <c r="I83" s="5"/>
      <c r="J83" s="5" t="n">
        <f aca="false">X4_X6_Audit!J83</f>
        <v>-1.4</v>
      </c>
      <c r="K83" s="6"/>
      <c r="L83" s="6" t="n">
        <f aca="false">X4_X6_Audit!O83</f>
        <v>0.2</v>
      </c>
      <c r="M83" s="7" t="n">
        <v>0</v>
      </c>
      <c r="N83" s="8" t="n">
        <v>4.2</v>
      </c>
      <c r="O83" s="9" t="n">
        <v>3</v>
      </c>
      <c r="P83" s="9" t="n">
        <v>2</v>
      </c>
      <c r="Q83" s="9" t="s">
        <v>86</v>
      </c>
      <c r="R83" s="9" t="n">
        <f aca="false">O83-P83</f>
        <v>1</v>
      </c>
      <c r="S83" s="10" t="str">
        <f aca="false">IF(COUNTA(G83:N83)=0,"Not Started",IF(COUNTA(G83:N83)=8,"Complete","In Progress"))</f>
        <v>In Progress</v>
      </c>
      <c r="T83" s="11" t="s">
        <v>83</v>
      </c>
    </row>
    <row r="84" customFormat="false" ht="48" hidden="false" customHeight="true" outlineLevel="0" collapsed="false">
      <c r="A84" s="2" t="n">
        <v>83</v>
      </c>
      <c r="B84" s="3" t="n">
        <v>46205</v>
      </c>
      <c r="C84" s="2" t="s">
        <v>82</v>
      </c>
      <c r="D84" s="2"/>
      <c r="E84" s="2" t="s">
        <v>78</v>
      </c>
      <c r="F84" s="2" t="s">
        <v>76</v>
      </c>
      <c r="G84" s="4"/>
      <c r="H84" s="4"/>
      <c r="I84" s="5"/>
      <c r="J84" s="5" t="n">
        <f aca="false">X4_X6_Audit!J84</f>
        <v>-1</v>
      </c>
      <c r="K84" s="6"/>
      <c r="L84" s="6" t="n">
        <f aca="false">X4_X6_Audit!O84</f>
        <v>0.2</v>
      </c>
      <c r="M84" s="7" t="n">
        <v>0</v>
      </c>
      <c r="N84" s="8" t="n">
        <v>2.2</v>
      </c>
      <c r="O84" s="9" t="n">
        <v>2</v>
      </c>
      <c r="P84" s="9" t="n">
        <v>1</v>
      </c>
      <c r="Q84" s="9"/>
      <c r="R84" s="9" t="n">
        <f aca="false">O84-P84</f>
        <v>1</v>
      </c>
      <c r="S84" s="10" t="str">
        <f aca="false">IF(COUNTA(G84:N84)=0,"Not Started",IF(COUNTA(G84:N84)=8,"Complete","In Progress"))</f>
        <v>In Progress</v>
      </c>
      <c r="T84" s="11" t="s">
        <v>83</v>
      </c>
    </row>
    <row r="85" customFormat="false" ht="48" hidden="false" customHeight="true" outlineLevel="0" collapsed="false">
      <c r="A85" s="2" t="n">
        <v>84</v>
      </c>
      <c r="B85" s="3" t="n">
        <v>46205</v>
      </c>
      <c r="C85" s="2" t="s">
        <v>82</v>
      </c>
      <c r="D85" s="2"/>
      <c r="E85" s="2" t="s">
        <v>55</v>
      </c>
      <c r="F85" s="2" t="s">
        <v>70</v>
      </c>
      <c r="G85" s="4"/>
      <c r="H85" s="4"/>
      <c r="I85" s="5"/>
      <c r="J85" s="5" t="n">
        <f aca="false">X4_X6_Audit!J85</f>
        <v>-0.8</v>
      </c>
      <c r="K85" s="6"/>
      <c r="L85" s="6" t="n">
        <f aca="false">X4_X6_Audit!O85</f>
        <v>0.2</v>
      </c>
      <c r="M85" s="7" t="n">
        <v>1</v>
      </c>
      <c r="N85" s="8" t="n">
        <v>19.2</v>
      </c>
      <c r="O85" s="9" t="n">
        <v>3</v>
      </c>
      <c r="P85" s="9" t="n">
        <v>0</v>
      </c>
      <c r="Q85" s="9"/>
      <c r="R85" s="9" t="n">
        <f aca="false">O85-P85</f>
        <v>3</v>
      </c>
      <c r="S85" s="10" t="str">
        <f aca="false">IF(COUNTA(G85:N85)=0,"Not Started",IF(COUNTA(G85:N85)=8,"Complete","In Progress"))</f>
        <v>In Progress</v>
      </c>
      <c r="T85" s="11" t="s">
        <v>83</v>
      </c>
    </row>
    <row r="86" customFormat="false" ht="48" hidden="false" customHeight="true" outlineLevel="0" collapsed="false">
      <c r="A86" s="2" t="n">
        <v>85</v>
      </c>
      <c r="B86" s="3" t="n">
        <v>46205</v>
      </c>
      <c r="C86" s="2" t="s">
        <v>82</v>
      </c>
      <c r="D86" s="2"/>
      <c r="E86" s="2" t="s">
        <v>41</v>
      </c>
      <c r="F86" s="2" t="s">
        <v>69</v>
      </c>
      <c r="G86" s="4"/>
      <c r="H86" s="4"/>
      <c r="I86" s="5"/>
      <c r="J86" s="5" t="n">
        <f aca="false">X4_X6_Audit!J86</f>
        <v>-0.4</v>
      </c>
      <c r="K86" s="6"/>
      <c r="L86" s="6" t="n">
        <f aca="false">X4_X6_Audit!O86</f>
        <v>-0.4</v>
      </c>
      <c r="M86" s="7" t="n">
        <v>3</v>
      </c>
      <c r="N86" s="8" t="n">
        <v>13.8</v>
      </c>
      <c r="O86" s="9" t="n">
        <v>2</v>
      </c>
      <c r="P86" s="9" t="n">
        <v>0</v>
      </c>
      <c r="Q86" s="9"/>
      <c r="R86" s="9" t="n">
        <f aca="false">O86-P86</f>
        <v>2</v>
      </c>
      <c r="S86" s="10" t="str">
        <f aca="false">IF(COUNTA(G86:N86)=0,"Not Started",IF(COUNTA(G86:N86)=8,"Complete","In Progress"))</f>
        <v>In Progress</v>
      </c>
      <c r="T86" s="11" t="s">
        <v>83</v>
      </c>
    </row>
    <row r="87" customFormat="false" ht="48" hidden="false" customHeight="true" outlineLevel="0" collapsed="false">
      <c r="A87" s="2" t="n">
        <v>86</v>
      </c>
      <c r="B87" s="3" t="n">
        <v>46206</v>
      </c>
      <c r="C87" s="2" t="s">
        <v>82</v>
      </c>
      <c r="D87" s="2"/>
      <c r="E87" s="2" t="s">
        <v>68</v>
      </c>
      <c r="F87" s="2" t="s">
        <v>56</v>
      </c>
      <c r="G87" s="4"/>
      <c r="H87" s="4"/>
      <c r="I87" s="5"/>
      <c r="J87" s="5" t="n">
        <f aca="false">X4_X6_Audit!J87</f>
        <v>-0.8</v>
      </c>
      <c r="K87" s="6"/>
      <c r="L87" s="6" t="n">
        <f aca="false">X4_X6_Audit!O87</f>
        <v>0.2</v>
      </c>
      <c r="M87" s="7" t="n">
        <v>-1</v>
      </c>
      <c r="N87" s="8" t="n">
        <v>-5.6</v>
      </c>
      <c r="O87" s="9" t="n">
        <v>3</v>
      </c>
      <c r="P87" s="9" t="n">
        <v>2</v>
      </c>
      <c r="Q87" s="9" t="s">
        <v>86</v>
      </c>
      <c r="R87" s="9" t="n">
        <f aca="false">O87-P87</f>
        <v>1</v>
      </c>
      <c r="S87" s="10" t="str">
        <f aca="false">IF(COUNTA(G87:N87)=0,"Not Started",IF(COUNTA(G87:N87)=8,"Complete","In Progress"))</f>
        <v>In Progress</v>
      </c>
      <c r="T87" s="11" t="s">
        <v>83</v>
      </c>
    </row>
    <row r="88" customFormat="false" ht="48" hidden="false" customHeight="true" outlineLevel="0" collapsed="false">
      <c r="A88" s="2" t="n">
        <v>87</v>
      </c>
      <c r="B88" s="3" t="n">
        <v>46206</v>
      </c>
      <c r="C88" s="2" t="s">
        <v>82</v>
      </c>
      <c r="D88" s="2"/>
      <c r="E88" s="2" t="s">
        <v>81</v>
      </c>
      <c r="F88" s="2" t="s">
        <v>73</v>
      </c>
      <c r="G88" s="4"/>
      <c r="H88" s="4"/>
      <c r="I88" s="5"/>
      <c r="J88" s="5" t="n">
        <f aca="false">X4_X6_Audit!J88</f>
        <v>-0.6</v>
      </c>
      <c r="K88" s="6"/>
      <c r="L88" s="6" t="n">
        <f aca="false">X4_X6_Audit!O88</f>
        <v>0.2</v>
      </c>
      <c r="M88" s="7" t="n">
        <v>0</v>
      </c>
      <c r="N88" s="8" t="n">
        <v>22.8</v>
      </c>
      <c r="O88" s="9" t="n">
        <v>1</v>
      </c>
      <c r="P88" s="9" t="n">
        <v>0</v>
      </c>
      <c r="Q88" s="9"/>
      <c r="R88" s="9" t="n">
        <f aca="false">O88-P88</f>
        <v>1</v>
      </c>
      <c r="S88" s="10" t="str">
        <f aca="false">IF(COUNTA(G88:N88)=0,"Not Started",IF(COUNTA(G88:N88)=8,"Complete","In Progress"))</f>
        <v>In Progress</v>
      </c>
      <c r="T88" s="11" t="s">
        <v>83</v>
      </c>
    </row>
    <row r="89" customFormat="false" ht="48" hidden="false" customHeight="true" outlineLevel="0" collapsed="false">
      <c r="A89" s="2" t="n">
        <v>88</v>
      </c>
      <c r="B89" s="3" t="n">
        <v>46206</v>
      </c>
      <c r="C89" s="2" t="s">
        <v>82</v>
      </c>
      <c r="D89" s="2"/>
      <c r="E89" s="2" t="s">
        <v>36</v>
      </c>
      <c r="F89" s="2" t="s">
        <v>61</v>
      </c>
      <c r="G89" s="4"/>
      <c r="H89" s="4"/>
      <c r="I89" s="5"/>
      <c r="J89" s="5" t="n">
        <f aca="false">X4_X6_Audit!J89</f>
        <v>-0.2</v>
      </c>
      <c r="K89" s="6"/>
      <c r="L89" s="6" t="n">
        <f aca="false">X4_X6_Audit!O89</f>
        <v>0.2</v>
      </c>
      <c r="M89" s="7" t="n">
        <v>1</v>
      </c>
      <c r="N89" s="8" t="n">
        <v>-8.4</v>
      </c>
      <c r="O89" s="9" t="n">
        <v>1</v>
      </c>
      <c r="P89" s="9" t="n">
        <v>1</v>
      </c>
      <c r="Q89" s="9" t="s">
        <v>87</v>
      </c>
      <c r="R89" s="9" t="n">
        <f aca="false">O89-P89</f>
        <v>0</v>
      </c>
      <c r="S89" s="10" t="str">
        <f aca="false">IF(COUNTA(G89:N89)=0,"Not Started",IF(COUNTA(G89:N89)=8,"Complete","In Progress"))</f>
        <v>In Progress</v>
      </c>
      <c r="T89" s="11" t="s">
        <v>83</v>
      </c>
    </row>
    <row r="90" customFormat="false" ht="48" hidden="false" customHeight="true" outlineLevel="0" collapsed="false">
      <c r="A90" s="2" t="n">
        <v>89</v>
      </c>
      <c r="B90" s="3" t="n">
        <v>46207</v>
      </c>
      <c r="C90" s="2" t="s">
        <v>88</v>
      </c>
      <c r="D90" s="2"/>
      <c r="E90" s="2" t="s">
        <v>32</v>
      </c>
      <c r="F90" s="2" t="s">
        <v>63</v>
      </c>
      <c r="G90" s="4"/>
      <c r="H90" s="4"/>
      <c r="I90" s="5"/>
      <c r="J90" s="5" t="n">
        <f aca="false">X4_X6_Audit!J90</f>
        <v>0.4</v>
      </c>
      <c r="K90" s="6"/>
      <c r="L90" s="6" t="n">
        <f aca="false">X4_X6_Audit!O90</f>
        <v>0.2</v>
      </c>
      <c r="M90" s="7" t="n">
        <v>1</v>
      </c>
      <c r="N90" s="8" t="n">
        <v>-0.8</v>
      </c>
      <c r="O90" s="9" t="n">
        <v>0</v>
      </c>
      <c r="P90" s="9" t="n">
        <v>1</v>
      </c>
      <c r="Q90" s="9"/>
      <c r="R90" s="9" t="n">
        <f aca="false">O90-P90</f>
        <v>-1</v>
      </c>
      <c r="S90" s="10" t="str">
        <f aca="false">IF(COUNTA(G90:N90)=0,"Not Started",IF(COUNTA(G90:N90)=8,"Complete","In Progress"))</f>
        <v>In Progress</v>
      </c>
      <c r="T90" s="11" t="s">
        <v>83</v>
      </c>
    </row>
    <row r="91" customFormat="false" ht="48" hidden="false" customHeight="true" outlineLevel="0" collapsed="false">
      <c r="A91" s="2" t="n">
        <v>90</v>
      </c>
      <c r="B91" s="3" t="n">
        <v>46207</v>
      </c>
      <c r="C91" s="2" t="s">
        <v>88</v>
      </c>
      <c r="D91" s="2"/>
      <c r="E91" s="2" t="s">
        <v>28</v>
      </c>
      <c r="F91" s="2" t="s">
        <v>39</v>
      </c>
      <c r="G91" s="4"/>
      <c r="H91" s="4"/>
      <c r="I91" s="5"/>
      <c r="J91" s="5" t="n">
        <f aca="false">X4_X6_Audit!J91</f>
        <v>-0.2</v>
      </c>
      <c r="K91" s="6"/>
      <c r="L91" s="6" t="n">
        <f aca="false">X4_X6_Audit!O91</f>
        <v>0.2</v>
      </c>
      <c r="M91" s="7" t="n">
        <v>1</v>
      </c>
      <c r="N91" s="8" t="n">
        <v>17.6</v>
      </c>
      <c r="O91" s="9" t="n">
        <v>0</v>
      </c>
      <c r="P91" s="9" t="n">
        <v>3</v>
      </c>
      <c r="Q91" s="9"/>
      <c r="R91" s="9" t="n">
        <f aca="false">O91-P91</f>
        <v>-3</v>
      </c>
      <c r="S91" s="10" t="str">
        <f aca="false">IF(COUNTA(G91:N91)=0,"Not Started",IF(COUNTA(G91:N91)=8,"Complete","In Progress"))</f>
        <v>In Progress</v>
      </c>
      <c r="T91" s="11" t="s">
        <v>83</v>
      </c>
    </row>
    <row r="92" customFormat="false" ht="48" hidden="false" customHeight="true" outlineLevel="0" collapsed="false">
      <c r="A92" s="2" t="n">
        <v>91</v>
      </c>
      <c r="B92" s="3" t="n">
        <v>46208</v>
      </c>
      <c r="C92" s="2" t="s">
        <v>88</v>
      </c>
      <c r="D92" s="2"/>
      <c r="E92" s="2" t="s">
        <v>38</v>
      </c>
      <c r="F92" s="2" t="s">
        <v>66</v>
      </c>
      <c r="G92" s="4"/>
      <c r="H92" s="4"/>
      <c r="I92" s="5"/>
      <c r="J92" s="5" t="n">
        <f aca="false">X4_X6_Audit!J92</f>
        <v>-1.2</v>
      </c>
      <c r="K92" s="6"/>
      <c r="L92" s="6" t="n">
        <f aca="false">X4_X6_Audit!O92</f>
        <v>0.4</v>
      </c>
      <c r="M92" s="7" t="n">
        <v>1</v>
      </c>
      <c r="N92" s="8" t="n">
        <v>12.6</v>
      </c>
      <c r="O92" s="9" t="n">
        <v>1</v>
      </c>
      <c r="P92" s="9" t="n">
        <v>2</v>
      </c>
      <c r="Q92" s="9"/>
      <c r="R92" s="9" t="n">
        <f aca="false">O92-P92</f>
        <v>-1</v>
      </c>
      <c r="S92" s="10" t="str">
        <f aca="false">IF(COUNTA(G92:N92)=0,"Not Started",IF(COUNTA(G92:N92)=8,"Complete","In Progress"))</f>
        <v>In Progress</v>
      </c>
      <c r="T92" s="11" t="s">
        <v>83</v>
      </c>
    </row>
    <row r="93" customFormat="false" ht="48" hidden="false" customHeight="true" outlineLevel="0" collapsed="false">
      <c r="A93" s="2" t="n">
        <v>92</v>
      </c>
      <c r="B93" s="3" t="n">
        <v>46208</v>
      </c>
      <c r="C93" s="2" t="s">
        <v>88</v>
      </c>
      <c r="D93" s="2"/>
      <c r="E93" s="2" t="s">
        <v>22</v>
      </c>
      <c r="F93" s="2" t="s">
        <v>75</v>
      </c>
      <c r="G93" s="4"/>
      <c r="H93" s="4"/>
      <c r="I93" s="5"/>
      <c r="J93" s="5" t="n">
        <f aca="false">X4_X6_Audit!J93</f>
        <v>-0.4</v>
      </c>
      <c r="K93" s="6"/>
      <c r="L93" s="6" t="n">
        <f aca="false">X4_X6_Audit!O93</f>
        <v>0.2</v>
      </c>
      <c r="M93" s="7" t="n">
        <v>1</v>
      </c>
      <c r="N93" s="8" t="n">
        <v>-5.6</v>
      </c>
      <c r="O93" s="9" t="n">
        <v>2</v>
      </c>
      <c r="P93" s="9" t="n">
        <v>3</v>
      </c>
      <c r="Q93" s="9"/>
      <c r="R93" s="9" t="n">
        <f aca="false">O93-P93</f>
        <v>-1</v>
      </c>
      <c r="S93" s="10" t="str">
        <f aca="false">IF(COUNTA(G93:N93)=0,"Not Started",IF(COUNTA(G93:N93)=8,"Complete","In Progress"))</f>
        <v>In Progress</v>
      </c>
      <c r="T93" s="11" t="s">
        <v>83</v>
      </c>
    </row>
    <row r="94" customFormat="false" ht="48" hidden="false" customHeight="true" outlineLevel="0" collapsed="false">
      <c r="A94" s="2" t="n">
        <v>93</v>
      </c>
      <c r="B94" s="3" t="n">
        <v>46209</v>
      </c>
      <c r="C94" s="2" t="s">
        <v>88</v>
      </c>
      <c r="D94" s="2"/>
      <c r="E94" s="2" t="s">
        <v>78</v>
      </c>
      <c r="F94" s="2" t="s">
        <v>55</v>
      </c>
      <c r="G94" s="4"/>
      <c r="H94" s="4"/>
      <c r="I94" s="5"/>
      <c r="J94" s="5" t="n">
        <f aca="false">X4_X6_Audit!J94</f>
        <v>0.4</v>
      </c>
      <c r="K94" s="6"/>
      <c r="L94" s="6" t="n">
        <f aca="false">X4_X6_Audit!O94</f>
        <v>-0.4</v>
      </c>
      <c r="M94" s="7" t="n">
        <v>0</v>
      </c>
      <c r="N94" s="8" t="n">
        <v>-15</v>
      </c>
      <c r="O94" s="9" t="n">
        <v>0</v>
      </c>
      <c r="P94" s="9" t="n">
        <v>1</v>
      </c>
      <c r="Q94" s="9"/>
      <c r="R94" s="9" t="n">
        <f aca="false">O94-P94</f>
        <v>-1</v>
      </c>
      <c r="S94" s="10" t="str">
        <f aca="false">IF(COUNTA(G94:N94)=0,"Not Started",IF(COUNTA(G94:N94)=8,"Complete","In Progress"))</f>
        <v>In Progress</v>
      </c>
      <c r="T94" s="11" t="s">
        <v>83</v>
      </c>
    </row>
    <row r="95" customFormat="false" ht="48" hidden="false" customHeight="true" outlineLevel="0" collapsed="false">
      <c r="A95" s="2" t="n">
        <v>94</v>
      </c>
      <c r="B95" s="3" t="n">
        <v>46209</v>
      </c>
      <c r="C95" s="2" t="s">
        <v>88</v>
      </c>
      <c r="D95" s="2"/>
      <c r="E95" s="2" t="s">
        <v>31</v>
      </c>
      <c r="F95" s="2" t="s">
        <v>60</v>
      </c>
      <c r="G95" s="4"/>
      <c r="H95" s="4"/>
      <c r="I95" s="5"/>
      <c r="J95" s="5" t="n">
        <f aca="false">X4_X6_Audit!J95</f>
        <v>0.4</v>
      </c>
      <c r="K95" s="6"/>
      <c r="L95" s="6" t="n">
        <f aca="false">X4_X6_Audit!O95</f>
        <v>0</v>
      </c>
      <c r="M95" s="7" t="n">
        <v>0</v>
      </c>
      <c r="N95" s="8" t="n">
        <v>-5.8</v>
      </c>
      <c r="O95" s="9" t="n">
        <v>1</v>
      </c>
      <c r="P95" s="9" t="n">
        <v>4</v>
      </c>
      <c r="Q95" s="9"/>
      <c r="R95" s="9" t="n">
        <f aca="false">O95-P95</f>
        <v>-3</v>
      </c>
      <c r="S95" s="10" t="str">
        <f aca="false">IF(COUNTA(G95:N95)=0,"Not Started",IF(COUNTA(G95:N95)=8,"Complete","In Progress"))</f>
        <v>In Progress</v>
      </c>
      <c r="T95" s="11" t="s">
        <v>83</v>
      </c>
    </row>
    <row r="96" customFormat="false" ht="48" hidden="false" customHeight="true" outlineLevel="0" collapsed="false">
      <c r="A96" s="2" t="n">
        <v>95</v>
      </c>
      <c r="B96" s="3" t="n">
        <v>46210</v>
      </c>
      <c r="C96" s="2" t="s">
        <v>88</v>
      </c>
      <c r="D96" s="2"/>
      <c r="E96" s="2" t="s">
        <v>68</v>
      </c>
      <c r="F96" s="2" t="s">
        <v>61</v>
      </c>
      <c r="G96" s="4"/>
      <c r="H96" s="4"/>
      <c r="I96" s="5"/>
      <c r="J96" s="5" t="n">
        <f aca="false">X4_X6_Audit!J96</f>
        <v>-0.6</v>
      </c>
      <c r="K96" s="6"/>
      <c r="L96" s="6" t="n">
        <f aca="false">X4_X6_Audit!O96</f>
        <v>0.6</v>
      </c>
      <c r="M96" s="7" t="n">
        <v>0</v>
      </c>
      <c r="N96" s="8" t="n">
        <v>22</v>
      </c>
      <c r="O96" s="9" t="n">
        <v>3</v>
      </c>
      <c r="P96" s="9" t="n">
        <v>2</v>
      </c>
      <c r="Q96" s="9"/>
      <c r="R96" s="9" t="n">
        <f aca="false">O96-P96</f>
        <v>1</v>
      </c>
      <c r="S96" s="10" t="str">
        <f aca="false">IF(COUNTA(G96:N96)=0,"Not Started",IF(COUNTA(G96:N96)=8,"Complete","In Progress"))</f>
        <v>In Progress</v>
      </c>
      <c r="T96" s="11" t="s">
        <v>83</v>
      </c>
    </row>
    <row r="97" customFormat="false" ht="48" hidden="false" customHeight="true" outlineLevel="0" collapsed="false">
      <c r="A97" s="2" t="n">
        <v>96</v>
      </c>
      <c r="B97" s="3" t="n">
        <v>46210</v>
      </c>
      <c r="C97" s="2" t="s">
        <v>88</v>
      </c>
      <c r="D97" s="2"/>
      <c r="E97" s="2" t="s">
        <v>41</v>
      </c>
      <c r="F97" s="2" t="s">
        <v>81</v>
      </c>
      <c r="G97" s="4"/>
      <c r="H97" s="4"/>
      <c r="I97" s="5"/>
      <c r="J97" s="5" t="n">
        <f aca="false">X4_X6_Audit!J97</f>
        <v>0.6</v>
      </c>
      <c r="K97" s="6"/>
      <c r="L97" s="6" t="n">
        <f aca="false">X4_X6_Audit!O97</f>
        <v>-0.6</v>
      </c>
      <c r="M97" s="7" t="n">
        <v>1</v>
      </c>
      <c r="N97" s="8" t="n">
        <v>-6.4</v>
      </c>
      <c r="O97" s="9" t="n">
        <v>0</v>
      </c>
      <c r="P97" s="9" t="n">
        <v>0</v>
      </c>
      <c r="Q97" s="9" t="s">
        <v>89</v>
      </c>
      <c r="R97" s="9" t="n">
        <f aca="false">O97-P97</f>
        <v>0</v>
      </c>
      <c r="S97" s="10" t="str">
        <f aca="false">IF(COUNTA(G97:N97)=0,"Not Started",IF(COUNTA(G97:N97)=8,"Complete","In Progress"))</f>
        <v>In Progress</v>
      </c>
      <c r="T97" s="11" t="s">
        <v>83</v>
      </c>
    </row>
    <row r="98" customFormat="false" ht="48" hidden="false" customHeight="true" outlineLevel="0" collapsed="false">
      <c r="A98" s="2" t="n">
        <v>97</v>
      </c>
      <c r="B98" s="3" t="n">
        <v>46212</v>
      </c>
      <c r="C98" s="2" t="s">
        <v>90</v>
      </c>
      <c r="D98" s="2"/>
      <c r="E98" s="2" t="s">
        <v>63</v>
      </c>
      <c r="F98" s="2" t="s">
        <v>39</v>
      </c>
      <c r="G98" s="4"/>
      <c r="H98" s="4"/>
      <c r="I98" s="5"/>
      <c r="J98" s="5" t="n">
        <f aca="false">X4_X6_Audit!J98</f>
        <v>-0.4</v>
      </c>
      <c r="K98" s="6"/>
      <c r="L98" s="6" t="n">
        <f aca="false">X4_X6_Audit!O98</f>
        <v>0.2</v>
      </c>
      <c r="M98" s="7" t="n">
        <v>0</v>
      </c>
      <c r="N98" s="8" t="n">
        <v>2.6</v>
      </c>
      <c r="O98" s="9" t="n">
        <v>2</v>
      </c>
      <c r="P98" s="9" t="n">
        <v>0</v>
      </c>
      <c r="Q98" s="9"/>
      <c r="R98" s="9" t="n">
        <f aca="false">O98-P98</f>
        <v>2</v>
      </c>
      <c r="S98" s="10" t="str">
        <f aca="false">IF(COUNTA(G98:N98)=0,"Not Started",IF(COUNTA(G98:N98)=8,"Complete","In Progress"))</f>
        <v>In Progress</v>
      </c>
      <c r="T98" s="11" t="s">
        <v>83</v>
      </c>
    </row>
    <row r="99" customFormat="false" ht="48" hidden="false" customHeight="true" outlineLevel="0" collapsed="false">
      <c r="A99" s="2" t="n">
        <v>98</v>
      </c>
      <c r="B99" s="3" t="n">
        <v>46213</v>
      </c>
      <c r="C99" s="2" t="s">
        <v>90</v>
      </c>
      <c r="D99" s="2"/>
      <c r="E99" s="2" t="s">
        <v>55</v>
      </c>
      <c r="F99" s="2" t="s">
        <v>60</v>
      </c>
      <c r="G99" s="4"/>
      <c r="H99" s="4"/>
      <c r="I99" s="5"/>
      <c r="J99" s="5" t="n">
        <f aca="false">X4_X6_Audit!J99</f>
        <v>-1</v>
      </c>
      <c r="K99" s="6"/>
      <c r="L99" s="6" t="n">
        <f aca="false">X4_X6_Audit!O99</f>
        <v>0.8</v>
      </c>
      <c r="M99" s="7" t="n">
        <v>0</v>
      </c>
      <c r="N99" s="8" t="n">
        <v>1.4</v>
      </c>
      <c r="O99" s="9" t="n">
        <v>2</v>
      </c>
      <c r="P99" s="9" t="n">
        <v>1</v>
      </c>
      <c r="Q99" s="9"/>
      <c r="R99" s="9" t="n">
        <f aca="false">O99-P99</f>
        <v>1</v>
      </c>
      <c r="S99" s="10" t="str">
        <f aca="false">IF(COUNTA(G99:N99)=0,"Not Started",IF(COUNTA(G99:N99)=8,"Complete","In Progress"))</f>
        <v>In Progress</v>
      </c>
      <c r="T99" s="11" t="s">
        <v>83</v>
      </c>
    </row>
    <row r="100" customFormat="false" ht="48" hidden="false" customHeight="true" outlineLevel="0" collapsed="false">
      <c r="A100" s="2" t="n">
        <v>99</v>
      </c>
      <c r="B100" s="3" t="n">
        <v>46214</v>
      </c>
      <c r="C100" s="2" t="s">
        <v>90</v>
      </c>
      <c r="D100" s="2"/>
      <c r="E100" s="2" t="s">
        <v>66</v>
      </c>
      <c r="F100" s="2" t="s">
        <v>75</v>
      </c>
      <c r="G100" s="4"/>
      <c r="H100" s="4"/>
      <c r="I100" s="5"/>
      <c r="J100" s="5" t="n">
        <f aca="false">X4_X6_Audit!J100</f>
        <v>0.8</v>
      </c>
      <c r="K100" s="6"/>
      <c r="L100" s="6" t="n">
        <f aca="false">X4_X6_Audit!O100</f>
        <v>-0.4</v>
      </c>
      <c r="M100" s="7" t="n">
        <v>0</v>
      </c>
      <c r="N100" s="8" t="n">
        <v>-12.8</v>
      </c>
      <c r="O100" s="9" t="n">
        <v>1</v>
      </c>
      <c r="P100" s="9" t="n">
        <v>2</v>
      </c>
      <c r="Q100" s="9" t="s">
        <v>86</v>
      </c>
      <c r="R100" s="9" t="n">
        <f aca="false">O100-P100</f>
        <v>-1</v>
      </c>
      <c r="S100" s="10" t="str">
        <f aca="false">IF(COUNTA(G100:N100)=0,"Not Started",IF(COUNTA(G100:N100)=8,"Complete","In Progress"))</f>
        <v>In Progress</v>
      </c>
      <c r="T100" s="11" t="s">
        <v>83</v>
      </c>
    </row>
    <row r="101" customFormat="false" ht="48" hidden="false" customHeight="true" outlineLevel="0" collapsed="false">
      <c r="A101" s="2" t="n">
        <v>100</v>
      </c>
      <c r="B101" s="3" t="n">
        <v>46214</v>
      </c>
      <c r="C101" s="2" t="s">
        <v>90</v>
      </c>
      <c r="D101" s="2"/>
      <c r="E101" s="2" t="s">
        <v>68</v>
      </c>
      <c r="F101" s="2" t="s">
        <v>41</v>
      </c>
      <c r="G101" s="4"/>
      <c r="H101" s="4"/>
      <c r="I101" s="5"/>
      <c r="J101" s="5" t="n">
        <f aca="false">X4_X6_Audit!J101</f>
        <v>0.4</v>
      </c>
      <c r="K101" s="6"/>
      <c r="L101" s="6" t="n">
        <f aca="false">X4_X6_Audit!O101</f>
        <v>0</v>
      </c>
      <c r="M101" s="7" t="n">
        <v>0</v>
      </c>
      <c r="N101" s="8" t="n">
        <v>4</v>
      </c>
      <c r="O101" s="9" t="n">
        <v>3</v>
      </c>
      <c r="P101" s="9" t="n">
        <v>1</v>
      </c>
      <c r="Q101" s="9" t="s">
        <v>86</v>
      </c>
      <c r="R101" s="9" t="n">
        <f aca="false">O101-P101</f>
        <v>2</v>
      </c>
      <c r="S101" s="10" t="str">
        <f aca="false">IF(COUNTA(G101:N101)=0,"Not Started",IF(COUNTA(G101:N101)=8,"Complete","In Progress"))</f>
        <v>In Progress</v>
      </c>
      <c r="T101" s="11" t="s">
        <v>83</v>
      </c>
    </row>
    <row r="102" customFormat="false" ht="48" hidden="false" customHeight="true" outlineLevel="0" collapsed="false">
      <c r="A102" s="2" t="n">
        <v>101</v>
      </c>
      <c r="B102" s="3" t="n">
        <v>46217</v>
      </c>
      <c r="C102" s="2" t="s">
        <v>91</v>
      </c>
      <c r="D102" s="2"/>
      <c r="E102" s="2" t="s">
        <v>63</v>
      </c>
      <c r="F102" s="2" t="s">
        <v>55</v>
      </c>
      <c r="G102" s="4"/>
      <c r="H102" s="4"/>
      <c r="I102" s="5"/>
      <c r="J102" s="5" t="n">
        <f aca="false">X4_X6_Audit!J102</f>
        <v>0</v>
      </c>
      <c r="K102" s="6"/>
      <c r="L102" s="6" t="n">
        <f aca="false">X4_X6_Audit!O102</f>
        <v>0</v>
      </c>
      <c r="M102" s="7" t="n">
        <v>1</v>
      </c>
      <c r="N102" s="8" t="n">
        <v>11.8</v>
      </c>
      <c r="O102" s="9" t="n">
        <v>0</v>
      </c>
      <c r="P102" s="9" t="n">
        <v>2</v>
      </c>
      <c r="Q102" s="9"/>
      <c r="R102" s="9" t="n">
        <f aca="false">O102-P102</f>
        <v>-2</v>
      </c>
      <c r="S102" s="10" t="str">
        <f aca="false">IF(COUNTA(G102:N102)=0,"Not Started",IF(COUNTA(G102:N102)=8,"Complete","In Progress"))</f>
        <v>In Progress</v>
      </c>
      <c r="T102" s="11" t="s">
        <v>83</v>
      </c>
    </row>
    <row r="103" customFormat="false" ht="48" hidden="false" customHeight="true" outlineLevel="0" collapsed="false">
      <c r="A103" s="2" t="n">
        <v>102</v>
      </c>
      <c r="B103" s="3" t="n">
        <v>46218</v>
      </c>
      <c r="C103" s="2" t="s">
        <v>91</v>
      </c>
      <c r="D103" s="2"/>
      <c r="E103" s="2" t="s">
        <v>75</v>
      </c>
      <c r="F103" s="2" t="s">
        <v>68</v>
      </c>
      <c r="G103" s="4"/>
      <c r="H103" s="4"/>
      <c r="I103" s="5"/>
      <c r="J103" s="5" t="n">
        <f aca="false">X4_X6_Audit!J103</f>
        <v>-0.4</v>
      </c>
      <c r="K103" s="6"/>
      <c r="L103" s="6" t="n">
        <f aca="false">X4_X6_Audit!O103</f>
        <v>0.2</v>
      </c>
      <c r="M103" s="7" t="n">
        <v>0</v>
      </c>
      <c r="N103" s="8" t="n">
        <v>-0.8</v>
      </c>
      <c r="O103" s="9" t="n">
        <v>1</v>
      </c>
      <c r="P103" s="9" t="n">
        <v>2</v>
      </c>
      <c r="Q103" s="9"/>
      <c r="R103" s="9" t="n">
        <f aca="false">O103-P103</f>
        <v>-1</v>
      </c>
      <c r="S103" s="10" t="str">
        <f aca="false">IF(COUNTA(G103:N103)=0,"Not Started",IF(COUNTA(G103:N103)=8,"Complete","In Progress"))</f>
        <v>In Progress</v>
      </c>
      <c r="T103" s="11" t="s">
        <v>83</v>
      </c>
    </row>
    <row r="104" customFormat="false" ht="48" hidden="false" customHeight="true" outlineLevel="0" collapsed="false">
      <c r="A104" s="2" t="n">
        <v>103</v>
      </c>
      <c r="B104" s="3" t="n">
        <v>46221</v>
      </c>
      <c r="C104" s="2" t="s">
        <v>92</v>
      </c>
      <c r="D104" s="2"/>
      <c r="E104" s="2" t="s">
        <v>63</v>
      </c>
      <c r="F104" s="2" t="s">
        <v>75</v>
      </c>
      <c r="G104" s="4"/>
      <c r="H104" s="4"/>
      <c r="I104" s="5"/>
      <c r="J104" s="5" t="n">
        <f aca="false">X4_X6_Audit!J104</f>
        <v>-0.6</v>
      </c>
      <c r="K104" s="6"/>
      <c r="L104" s="6" t="n">
        <f aca="false">X4_X6_Audit!O104</f>
        <v>0.4</v>
      </c>
      <c r="M104" s="7" t="n">
        <v>1</v>
      </c>
      <c r="N104" s="8" t="n">
        <v>-1.4</v>
      </c>
      <c r="O104" s="9" t="n">
        <v>4</v>
      </c>
      <c r="P104" s="9" t="n">
        <v>6</v>
      </c>
      <c r="Q104" s="9"/>
      <c r="R104" s="9" t="n">
        <f aca="false">O104-P104</f>
        <v>-2</v>
      </c>
      <c r="S104" s="10" t="str">
        <f aca="false">IF(COUNTA(G104:N104)=0,"Not Started",IF(COUNTA(G104:N104)=8,"Complete","In Progress"))</f>
        <v>In Progress</v>
      </c>
      <c r="T104" s="11" t="s">
        <v>83</v>
      </c>
    </row>
    <row r="105" customFormat="false" ht="48" hidden="false" customHeight="true" outlineLevel="0" collapsed="false">
      <c r="A105" s="2" t="n">
        <v>104</v>
      </c>
      <c r="B105" s="3" t="n">
        <v>46222</v>
      </c>
      <c r="C105" s="2" t="s">
        <v>93</v>
      </c>
      <c r="D105" s="2"/>
      <c r="E105" s="2" t="s">
        <v>55</v>
      </c>
      <c r="F105" s="2" t="s">
        <v>68</v>
      </c>
      <c r="G105" s="4"/>
      <c r="H105" s="4"/>
      <c r="I105" s="5"/>
      <c r="J105" s="5" t="n">
        <f aca="false">X4_X6_Audit!J105</f>
        <v>-1.2</v>
      </c>
      <c r="K105" s="6"/>
      <c r="L105" s="6" t="n">
        <f aca="false">X4_X6_Audit!O105</f>
        <v>0.8</v>
      </c>
      <c r="M105" s="7" t="n">
        <v>1</v>
      </c>
      <c r="N105" s="8" t="n">
        <v>-25</v>
      </c>
      <c r="O105" s="9" t="n">
        <v>1</v>
      </c>
      <c r="P105" s="9" t="n">
        <v>0</v>
      </c>
      <c r="Q105" s="9" t="s">
        <v>86</v>
      </c>
      <c r="R105" s="9" t="n">
        <f aca="false">O105-P105</f>
        <v>1</v>
      </c>
      <c r="S105" s="10" t="str">
        <f aca="false">IF(COUNTA(G105:N105)=0,"Not Started",IF(COUNTA(G105:N105)=8,"Complete","In Progress"))</f>
        <v>In Progress</v>
      </c>
      <c r="T105" s="11" t="s">
        <v>83</v>
      </c>
    </row>
  </sheetData>
  <conditionalFormatting sqref="S2:S105">
    <cfRule type="expression" priority="2" aboveAverage="0" equalAverage="0" bottom="0" percent="0" rank="0" text="" dxfId="9">
      <formula>S2="Complete"</formula>
    </cfRule>
    <cfRule type="expression" priority="3" aboveAverage="0" equalAverage="0" bottom="0" percent="0" rank="0" text="" dxfId="10">
      <formula>S2="In Progress"</formula>
    </cfRule>
    <cfRule type="expression" priority="4" aboveAverage="0" equalAverage="0" bottom="0" percent="0" rank="0" text="" dxfId="11">
      <formula>S2="Not Started"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2" t="s">
        <v>94</v>
      </c>
      <c r="B1" s="12" t="s">
        <v>95</v>
      </c>
    </row>
    <row r="2" customFormat="false" ht="15.75" hidden="false" customHeight="true" outlineLevel="0" collapsed="false">
      <c r="A2" s="13" t="s">
        <v>96</v>
      </c>
      <c r="B2" s="13" t="s">
        <v>97</v>
      </c>
    </row>
    <row r="3" customFormat="false" ht="15.75" hidden="false" customHeight="true" outlineLevel="0" collapsed="false">
      <c r="A3" s="13" t="s">
        <v>98</v>
      </c>
      <c r="B3" s="13" t="s">
        <v>99</v>
      </c>
    </row>
    <row r="4" customFormat="false" ht="15.75" hidden="false" customHeight="true" outlineLevel="0" collapsed="false">
      <c r="A4" s="13" t="s">
        <v>100</v>
      </c>
      <c r="B4" s="13" t="s">
        <v>101</v>
      </c>
    </row>
    <row r="5" customFormat="false" ht="15.75" hidden="false" customHeight="true" outlineLevel="0" collapsed="false">
      <c r="A5" s="13" t="s">
        <v>102</v>
      </c>
      <c r="B5" s="13" t="s">
        <v>103</v>
      </c>
    </row>
    <row r="6" customFormat="false" ht="15.75" hidden="false" customHeight="true" outlineLevel="0" collapsed="false">
      <c r="A6" s="13" t="s">
        <v>104</v>
      </c>
      <c r="B6" s="13" t="s">
        <v>105</v>
      </c>
    </row>
    <row r="7" customFormat="false" ht="15.75" hidden="false" customHeight="true" outlineLevel="0" collapsed="false">
      <c r="A7" s="13" t="s">
        <v>106</v>
      </c>
      <c r="B7" s="13" t="s">
        <v>107</v>
      </c>
    </row>
    <row r="8" customFormat="false" ht="15.75" hidden="false" customHeight="true" outlineLevel="0" collapsed="false">
      <c r="A8" s="13" t="s">
        <v>108</v>
      </c>
      <c r="B8" s="13" t="s">
        <v>109</v>
      </c>
    </row>
    <row r="9" customFormat="false" ht="15.75" hidden="false" customHeight="true" outlineLevel="0" collapsed="false">
      <c r="A9" s="13" t="s">
        <v>110</v>
      </c>
      <c r="B9" s="13" t="s">
        <v>111</v>
      </c>
    </row>
    <row r="10" customFormat="false" ht="31.5" hidden="false" customHeight="true" outlineLevel="0" collapsed="false">
      <c r="A10" s="13" t="s">
        <v>112</v>
      </c>
      <c r="B10" s="13" t="s">
        <v>113</v>
      </c>
    </row>
    <row r="11" customFormat="false" ht="31.5" hidden="false" customHeight="true" outlineLevel="0" collapsed="false">
      <c r="A11" s="13" t="s">
        <v>0</v>
      </c>
      <c r="B11" s="13" t="s">
        <v>114</v>
      </c>
    </row>
    <row r="12" customFormat="false" ht="15.75" hidden="false" customHeight="true" outlineLevel="0" collapsed="false">
      <c r="A12" s="13" t="s">
        <v>115</v>
      </c>
      <c r="B12" s="13" t="s">
        <v>116</v>
      </c>
    </row>
    <row r="13" customFormat="false" ht="48.75" hidden="false" customHeight="true" outlineLevel="0" collapsed="false">
      <c r="A13" s="14" t="s">
        <v>117</v>
      </c>
      <c r="B13" s="13" t="s">
        <v>118</v>
      </c>
    </row>
    <row r="14" customFormat="false" ht="48.75" hidden="false" customHeight="true" outlineLevel="0" collapsed="false">
      <c r="A14" s="14" t="s">
        <v>119</v>
      </c>
      <c r="B14" s="13" t="s">
        <v>120</v>
      </c>
    </row>
    <row r="15" customFormat="false" ht="48.75" hidden="false" customHeight="true" outlineLevel="0" collapsed="false">
      <c r="A15" s="14" t="s">
        <v>121</v>
      </c>
      <c r="B15" s="13" t="s">
        <v>122</v>
      </c>
    </row>
    <row r="16" customFormat="false" ht="48.75" hidden="false" customHeight="true" outlineLevel="0" collapsed="false">
      <c r="A16" s="14" t="s">
        <v>123</v>
      </c>
      <c r="B16" s="13" t="s">
        <v>124</v>
      </c>
    </row>
    <row r="17" customFormat="false" ht="48.75" hidden="false" customHeight="true" outlineLevel="0" collapsed="false">
      <c r="A17" s="14" t="s">
        <v>125</v>
      </c>
      <c r="B17" s="13" t="s">
        <v>126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2"/>
    <col collapsed="false" customWidth="true" hidden="false" outlineLevel="0" max="5" min="4" style="0" width="95"/>
    <col collapsed="false" customWidth="true" hidden="false" outlineLevel="0" max="7" min="6" style="0" width="12"/>
    <col collapsed="false" customWidth="true" hidden="false" outlineLevel="0" max="15" min="8" style="0" width="11"/>
  </cols>
  <sheetData>
    <row r="1" customFormat="false" ht="39.55" hidden="false" customHeight="false" outlineLevel="0" collapsed="false">
      <c r="A1" s="15" t="s">
        <v>0</v>
      </c>
      <c r="B1" s="15" t="s">
        <v>4</v>
      </c>
      <c r="C1" s="15" t="s">
        <v>5</v>
      </c>
      <c r="D1" s="15" t="s">
        <v>127</v>
      </c>
      <c r="E1" s="15" t="s">
        <v>128</v>
      </c>
      <c r="F1" s="15" t="s">
        <v>129</v>
      </c>
      <c r="G1" s="15" t="s">
        <v>130</v>
      </c>
      <c r="H1" s="15" t="s">
        <v>131</v>
      </c>
      <c r="I1" s="15" t="s">
        <v>132</v>
      </c>
      <c r="J1" s="15" t="s">
        <v>133</v>
      </c>
      <c r="K1" s="15" t="s">
        <v>134</v>
      </c>
      <c r="L1" s="15" t="s">
        <v>135</v>
      </c>
      <c r="M1" s="15" t="s">
        <v>136</v>
      </c>
      <c r="N1" s="15" t="s">
        <v>137</v>
      </c>
      <c r="O1" s="15" t="s">
        <v>138</v>
      </c>
    </row>
    <row r="2" customFormat="false" ht="15" hidden="false" customHeight="false" outlineLevel="0" collapsed="false">
      <c r="A2" s="16" t="n">
        <v>1</v>
      </c>
      <c r="B2" s="16" t="s">
        <v>22</v>
      </c>
      <c r="C2" s="16" t="s">
        <v>23</v>
      </c>
      <c r="D2" s="16" t="s">
        <v>139</v>
      </c>
      <c r="E2" s="16" t="s">
        <v>140</v>
      </c>
      <c r="F2" s="16" t="n">
        <v>2</v>
      </c>
      <c r="G2" s="16" t="n">
        <v>5</v>
      </c>
      <c r="H2" s="16" t="n">
        <f aca="false">F2/5</f>
        <v>0.4</v>
      </c>
      <c r="I2" s="16" t="n">
        <f aca="false">G2/5</f>
        <v>1</v>
      </c>
      <c r="J2" s="16" t="n">
        <f aca="false">H2-I2</f>
        <v>-0.6</v>
      </c>
      <c r="K2" s="16" t="n">
        <v>3</v>
      </c>
      <c r="L2" s="16" t="n">
        <v>2</v>
      </c>
      <c r="M2" s="16" t="n">
        <f aca="false">K2/5</f>
        <v>0.6</v>
      </c>
      <c r="N2" s="16" t="n">
        <f aca="false">L2/5</f>
        <v>0.4</v>
      </c>
      <c r="O2" s="16" t="n">
        <f aca="false">M2-N2</f>
        <v>0.2</v>
      </c>
    </row>
    <row r="3" customFormat="false" ht="15" hidden="false" customHeight="false" outlineLevel="0" collapsed="false">
      <c r="A3" s="16" t="n">
        <v>2</v>
      </c>
      <c r="B3" s="16" t="s">
        <v>25</v>
      </c>
      <c r="C3" s="16" t="s">
        <v>26</v>
      </c>
      <c r="D3" s="16" t="s">
        <v>141</v>
      </c>
      <c r="E3" s="16" t="s">
        <v>142</v>
      </c>
      <c r="F3" s="16" t="n">
        <v>5</v>
      </c>
      <c r="G3" s="16" t="n">
        <v>6</v>
      </c>
      <c r="H3" s="16" t="n">
        <f aca="false">F3/5</f>
        <v>1</v>
      </c>
      <c r="I3" s="16" t="n">
        <f aca="false">G3/5</f>
        <v>1.2</v>
      </c>
      <c r="J3" s="16" t="n">
        <f aca="false">H3-I3</f>
        <v>-0.2</v>
      </c>
      <c r="K3" s="16" t="n">
        <v>3</v>
      </c>
      <c r="L3" s="16" t="n">
        <v>1</v>
      </c>
      <c r="M3" s="16" t="n">
        <f aca="false">K3/5</f>
        <v>0.6</v>
      </c>
      <c r="N3" s="16" t="n">
        <f aca="false">L3/5</f>
        <v>0.2</v>
      </c>
      <c r="O3" s="16" t="n">
        <f aca="false">M3-N3</f>
        <v>0.4</v>
      </c>
    </row>
    <row r="4" customFormat="false" ht="15" hidden="false" customHeight="false" outlineLevel="0" collapsed="false">
      <c r="A4" s="16" t="n">
        <v>3</v>
      </c>
      <c r="B4" s="16" t="s">
        <v>28</v>
      </c>
      <c r="C4" s="16" t="s">
        <v>29</v>
      </c>
      <c r="D4" s="16" t="s">
        <v>143</v>
      </c>
      <c r="E4" s="16" t="s">
        <v>144</v>
      </c>
      <c r="F4" s="16" t="n">
        <v>3</v>
      </c>
      <c r="G4" s="16" t="n">
        <v>4</v>
      </c>
      <c r="H4" s="16" t="n">
        <f aca="false">F4/5</f>
        <v>0.6</v>
      </c>
      <c r="I4" s="16" t="n">
        <f aca="false">G4/5</f>
        <v>0.8</v>
      </c>
      <c r="J4" s="16" t="n">
        <f aca="false">H4-I4</f>
        <v>-0.2</v>
      </c>
      <c r="K4" s="16" t="n">
        <v>3</v>
      </c>
      <c r="L4" s="16" t="n">
        <v>1</v>
      </c>
      <c r="M4" s="16" t="n">
        <f aca="false">K4/5</f>
        <v>0.6</v>
      </c>
      <c r="N4" s="16" t="n">
        <f aca="false">L4/5</f>
        <v>0.2</v>
      </c>
      <c r="O4" s="16" t="n">
        <f aca="false">M4-N4</f>
        <v>0.4</v>
      </c>
    </row>
    <row r="5" customFormat="false" ht="15" hidden="false" customHeight="false" outlineLevel="0" collapsed="false">
      <c r="A5" s="16" t="n">
        <v>4</v>
      </c>
      <c r="B5" s="16" t="s">
        <v>31</v>
      </c>
      <c r="C5" s="16" t="s">
        <v>32</v>
      </c>
      <c r="D5" s="16" t="s">
        <v>145</v>
      </c>
      <c r="E5" s="16" t="s">
        <v>146</v>
      </c>
      <c r="F5" s="16" t="n">
        <v>12</v>
      </c>
      <c r="G5" s="16" t="n">
        <v>5</v>
      </c>
      <c r="H5" s="16" t="n">
        <f aca="false">F5/5</f>
        <v>2.4</v>
      </c>
      <c r="I5" s="16" t="n">
        <f aca="false">G5/5</f>
        <v>1</v>
      </c>
      <c r="J5" s="16" t="n">
        <f aca="false">H5-I5</f>
        <v>1.4</v>
      </c>
      <c r="K5" s="16" t="n">
        <v>0</v>
      </c>
      <c r="L5" s="16" t="n">
        <v>2</v>
      </c>
      <c r="M5" s="16" t="n">
        <f aca="false">K5/5</f>
        <v>0</v>
      </c>
      <c r="N5" s="16" t="n">
        <f aca="false">L5/5</f>
        <v>0.4</v>
      </c>
      <c r="O5" s="16" t="n">
        <f aca="false">M5-N5</f>
        <v>-0.4</v>
      </c>
    </row>
    <row r="6" customFormat="false" ht="15" hidden="false" customHeight="false" outlineLevel="0" collapsed="false">
      <c r="A6" s="16" t="n">
        <v>5</v>
      </c>
      <c r="B6" s="16" t="s">
        <v>34</v>
      </c>
      <c r="C6" s="16" t="s">
        <v>35</v>
      </c>
      <c r="D6" s="16" t="s">
        <v>147</v>
      </c>
      <c r="E6" s="16" t="s">
        <v>148</v>
      </c>
      <c r="F6" s="16" t="n">
        <v>4</v>
      </c>
      <c r="G6" s="16" t="n">
        <v>5</v>
      </c>
      <c r="H6" s="16" t="n">
        <f aca="false">F6/5</f>
        <v>0.8</v>
      </c>
      <c r="I6" s="16" t="n">
        <f aca="false">G6/5</f>
        <v>1</v>
      </c>
      <c r="J6" s="16" t="n">
        <f aca="false">H6-I6</f>
        <v>-0.2</v>
      </c>
      <c r="K6" s="16" t="n">
        <v>2</v>
      </c>
      <c r="L6" s="16" t="n">
        <v>1</v>
      </c>
      <c r="M6" s="16" t="n">
        <f aca="false">K6/5</f>
        <v>0.4</v>
      </c>
      <c r="N6" s="16" t="n">
        <f aca="false">L6/5</f>
        <v>0.2</v>
      </c>
      <c r="O6" s="16" t="n">
        <f aca="false">M6-N6</f>
        <v>0.2</v>
      </c>
    </row>
    <row r="7" customFormat="false" ht="15" hidden="false" customHeight="false" outlineLevel="0" collapsed="false">
      <c r="A7" s="16" t="n">
        <v>6</v>
      </c>
      <c r="B7" s="16" t="s">
        <v>36</v>
      </c>
      <c r="C7" s="16" t="s">
        <v>37</v>
      </c>
      <c r="D7" s="16" t="s">
        <v>149</v>
      </c>
      <c r="E7" s="16" t="s">
        <v>150</v>
      </c>
      <c r="F7" s="16" t="n">
        <v>6</v>
      </c>
      <c r="G7" s="16" t="n">
        <v>3</v>
      </c>
      <c r="H7" s="16" t="n">
        <f aca="false">F7/5</f>
        <v>1.2</v>
      </c>
      <c r="I7" s="16" t="n">
        <f aca="false">G7/5</f>
        <v>0.6</v>
      </c>
      <c r="J7" s="16" t="n">
        <f aca="false">H7-I7</f>
        <v>0.6</v>
      </c>
      <c r="K7" s="16" t="n">
        <v>1</v>
      </c>
      <c r="L7" s="16" t="n">
        <v>3</v>
      </c>
      <c r="M7" s="16" t="n">
        <f aca="false">K7/5</f>
        <v>0.2</v>
      </c>
      <c r="N7" s="16" t="n">
        <f aca="false">L7/5</f>
        <v>0.6</v>
      </c>
      <c r="O7" s="16" t="n">
        <f aca="false">M7-N7</f>
        <v>-0.4</v>
      </c>
    </row>
    <row r="8" customFormat="false" ht="15" hidden="false" customHeight="false" outlineLevel="0" collapsed="false">
      <c r="A8" s="16" t="n">
        <v>7</v>
      </c>
      <c r="B8" s="16" t="s">
        <v>38</v>
      </c>
      <c r="C8" s="16" t="s">
        <v>39</v>
      </c>
      <c r="D8" s="16" t="s">
        <v>151</v>
      </c>
      <c r="E8" s="16" t="s">
        <v>152</v>
      </c>
      <c r="F8" s="16" t="n">
        <v>7</v>
      </c>
      <c r="G8" s="16" t="n">
        <v>3</v>
      </c>
      <c r="H8" s="16" t="n">
        <f aca="false">F8/5</f>
        <v>1.4</v>
      </c>
      <c r="I8" s="16" t="n">
        <f aca="false">G8/5</f>
        <v>0.6</v>
      </c>
      <c r="J8" s="16" t="n">
        <f aca="false">H8-I8</f>
        <v>0.8</v>
      </c>
      <c r="K8" s="16" t="n">
        <v>0</v>
      </c>
      <c r="L8" s="16" t="n">
        <v>2</v>
      </c>
      <c r="M8" s="16" t="n">
        <f aca="false">K8/5</f>
        <v>0</v>
      </c>
      <c r="N8" s="16" t="n">
        <f aca="false">L8/5</f>
        <v>0.4</v>
      </c>
      <c r="O8" s="16" t="n">
        <f aca="false">M8-N8</f>
        <v>-0.4</v>
      </c>
    </row>
    <row r="9" customFormat="false" ht="15" hidden="false" customHeight="false" outlineLevel="0" collapsed="false">
      <c r="A9" s="16" t="n">
        <v>8</v>
      </c>
      <c r="B9" s="16" t="s">
        <v>40</v>
      </c>
      <c r="C9" s="16" t="s">
        <v>41</v>
      </c>
      <c r="D9" s="16" t="s">
        <v>153</v>
      </c>
      <c r="E9" s="16" t="s">
        <v>154</v>
      </c>
      <c r="F9" s="16" t="n">
        <v>6</v>
      </c>
      <c r="G9" s="16" t="n">
        <v>7</v>
      </c>
      <c r="H9" s="16" t="n">
        <f aca="false">F9/5</f>
        <v>1.2</v>
      </c>
      <c r="I9" s="16" t="n">
        <f aca="false">G9/5</f>
        <v>1.4</v>
      </c>
      <c r="J9" s="16" t="n">
        <f aca="false">H9-I9</f>
        <v>-0.2</v>
      </c>
      <c r="K9" s="16" t="n">
        <v>1</v>
      </c>
      <c r="L9" s="16" t="n">
        <v>1</v>
      </c>
      <c r="M9" s="16" t="n">
        <f aca="false">K9/5</f>
        <v>0.2</v>
      </c>
      <c r="N9" s="16" t="n">
        <f aca="false">L9/5</f>
        <v>0.2</v>
      </c>
      <c r="O9" s="16" t="n">
        <f aca="false">M9-N9</f>
        <v>0</v>
      </c>
    </row>
    <row r="10" customFormat="false" ht="15" hidden="false" customHeight="false" outlineLevel="0" collapsed="false">
      <c r="A10" s="16" t="n">
        <v>9</v>
      </c>
      <c r="B10" s="16" t="s">
        <v>43</v>
      </c>
      <c r="C10" s="16" t="s">
        <v>44</v>
      </c>
      <c r="D10" s="16" t="s">
        <v>155</v>
      </c>
      <c r="E10" s="16" t="s">
        <v>156</v>
      </c>
      <c r="F10" s="16" t="n">
        <v>4</v>
      </c>
      <c r="G10" s="16" t="n">
        <v>3</v>
      </c>
      <c r="H10" s="16" t="n">
        <f aca="false">F10/5</f>
        <v>0.8</v>
      </c>
      <c r="I10" s="16" t="n">
        <f aca="false">G10/5</f>
        <v>0.6</v>
      </c>
      <c r="J10" s="16" t="n">
        <f aca="false">H10-I10</f>
        <v>0.2</v>
      </c>
      <c r="K10" s="16" t="n">
        <v>3</v>
      </c>
      <c r="L10" s="16" t="n">
        <v>2</v>
      </c>
      <c r="M10" s="16" t="n">
        <f aca="false">K10/5</f>
        <v>0.6</v>
      </c>
      <c r="N10" s="16" t="n">
        <f aca="false">L10/5</f>
        <v>0.4</v>
      </c>
      <c r="O10" s="16" t="n">
        <f aca="false">M10-N10</f>
        <v>0.2</v>
      </c>
    </row>
    <row r="11" customFormat="false" ht="15" hidden="false" customHeight="false" outlineLevel="0" collapsed="false">
      <c r="A11" s="16" t="n">
        <v>10</v>
      </c>
      <c r="B11" s="16" t="s">
        <v>45</v>
      </c>
      <c r="C11" s="16" t="s">
        <v>46</v>
      </c>
      <c r="D11" s="16" t="s">
        <v>157</v>
      </c>
      <c r="E11" s="16" t="s">
        <v>158</v>
      </c>
      <c r="F11" s="16" t="n">
        <v>5</v>
      </c>
      <c r="G11" s="16" t="n">
        <v>11</v>
      </c>
      <c r="H11" s="16" t="n">
        <f aca="false">F11/5</f>
        <v>1</v>
      </c>
      <c r="I11" s="16" t="n">
        <f aca="false">G11/5</f>
        <v>2.2</v>
      </c>
      <c r="J11" s="16" t="n">
        <f aca="false">H11-I11</f>
        <v>-1.2</v>
      </c>
      <c r="K11" s="16" t="n">
        <v>2</v>
      </c>
      <c r="L11" s="16" t="n">
        <v>2</v>
      </c>
      <c r="M11" s="16" t="n">
        <f aca="false">K11/5</f>
        <v>0.4</v>
      </c>
      <c r="N11" s="16" t="n">
        <f aca="false">L11/5</f>
        <v>0.4</v>
      </c>
      <c r="O11" s="16" t="n">
        <f aca="false">M11-N11</f>
        <v>0</v>
      </c>
    </row>
    <row r="12" customFormat="false" ht="15" hidden="false" customHeight="false" outlineLevel="0" collapsed="false">
      <c r="A12" s="16" t="n">
        <v>11</v>
      </c>
      <c r="B12" s="16" t="s">
        <v>48</v>
      </c>
      <c r="C12" s="16" t="s">
        <v>49</v>
      </c>
      <c r="D12" s="16" t="s">
        <v>159</v>
      </c>
      <c r="E12" s="16" t="s">
        <v>160</v>
      </c>
      <c r="F12" s="16" t="n">
        <v>4</v>
      </c>
      <c r="G12" s="16" t="n">
        <v>0</v>
      </c>
      <c r="H12" s="16" t="n">
        <f aca="false">F12/5</f>
        <v>0.8</v>
      </c>
      <c r="I12" s="16" t="n">
        <f aca="false">G12/5</f>
        <v>0</v>
      </c>
      <c r="J12" s="16" t="n">
        <f aca="false">H12-I12</f>
        <v>0.8</v>
      </c>
      <c r="K12" s="16" t="n">
        <v>1</v>
      </c>
      <c r="L12" s="16" t="n">
        <v>5</v>
      </c>
      <c r="M12" s="16" t="n">
        <f aca="false">K12/5</f>
        <v>0.2</v>
      </c>
      <c r="N12" s="16" t="n">
        <f aca="false">L12/5</f>
        <v>1</v>
      </c>
      <c r="O12" s="16" t="n">
        <f aca="false">M12-N12</f>
        <v>-0.8</v>
      </c>
    </row>
    <row r="13" customFormat="false" ht="15" hidden="false" customHeight="false" outlineLevel="0" collapsed="false">
      <c r="A13" s="16" t="n">
        <v>12</v>
      </c>
      <c r="B13" s="16" t="s">
        <v>50</v>
      </c>
      <c r="C13" s="16" t="s">
        <v>51</v>
      </c>
      <c r="D13" s="16" t="s">
        <v>161</v>
      </c>
      <c r="E13" s="16" t="s">
        <v>162</v>
      </c>
      <c r="F13" s="16" t="n">
        <v>9</v>
      </c>
      <c r="G13" s="16" t="n">
        <v>7</v>
      </c>
      <c r="H13" s="16" t="n">
        <f aca="false">F13/5</f>
        <v>1.8</v>
      </c>
      <c r="I13" s="16" t="n">
        <f aca="false">G13/5</f>
        <v>1.4</v>
      </c>
      <c r="J13" s="16" t="n">
        <f aca="false">H13-I13</f>
        <v>0.4</v>
      </c>
      <c r="K13" s="16" t="n">
        <v>0</v>
      </c>
      <c r="L13" s="16" t="n">
        <v>2</v>
      </c>
      <c r="M13" s="16" t="n">
        <f aca="false">K13/5</f>
        <v>0</v>
      </c>
      <c r="N13" s="16" t="n">
        <f aca="false">L13/5</f>
        <v>0.4</v>
      </c>
      <c r="O13" s="16" t="n">
        <f aca="false">M13-N13</f>
        <v>-0.4</v>
      </c>
    </row>
    <row r="14" customFormat="false" ht="15" hidden="false" customHeight="false" outlineLevel="0" collapsed="false">
      <c r="A14" s="16" t="n">
        <v>13</v>
      </c>
      <c r="B14" s="16" t="s">
        <v>53</v>
      </c>
      <c r="C14" s="16" t="s">
        <v>54</v>
      </c>
      <c r="D14" s="16" t="s">
        <v>163</v>
      </c>
      <c r="E14" s="16" t="s">
        <v>164</v>
      </c>
      <c r="F14" s="16" t="n">
        <v>8</v>
      </c>
      <c r="G14" s="16" t="n">
        <v>7</v>
      </c>
      <c r="H14" s="16" t="n">
        <f aca="false">F14/5</f>
        <v>1.6</v>
      </c>
      <c r="I14" s="16" t="n">
        <f aca="false">G14/5</f>
        <v>1.4</v>
      </c>
      <c r="J14" s="16" t="n">
        <f aca="false">H14-I14</f>
        <v>0.2</v>
      </c>
      <c r="K14" s="16" t="n">
        <v>2</v>
      </c>
      <c r="L14" s="16" t="n">
        <v>2</v>
      </c>
      <c r="M14" s="16" t="n">
        <f aca="false">K14/5</f>
        <v>0.4</v>
      </c>
      <c r="N14" s="16" t="n">
        <f aca="false">L14/5</f>
        <v>0.4</v>
      </c>
      <c r="O14" s="16" t="n">
        <f aca="false">M14-N14</f>
        <v>0</v>
      </c>
    </row>
    <row r="15" customFormat="false" ht="15" hidden="false" customHeight="false" outlineLevel="0" collapsed="false">
      <c r="A15" s="16" t="n">
        <v>14</v>
      </c>
      <c r="B15" s="16" t="s">
        <v>55</v>
      </c>
      <c r="C15" s="16" t="s">
        <v>56</v>
      </c>
      <c r="D15" s="16" t="s">
        <v>165</v>
      </c>
      <c r="E15" s="16" t="s">
        <v>166</v>
      </c>
      <c r="F15" s="16" t="n">
        <v>4</v>
      </c>
      <c r="G15" s="16" t="n">
        <v>9</v>
      </c>
      <c r="H15" s="16" t="n">
        <f aca="false">F15/5</f>
        <v>0.8</v>
      </c>
      <c r="I15" s="16" t="n">
        <f aca="false">G15/5</f>
        <v>1.8</v>
      </c>
      <c r="J15" s="16" t="n">
        <f aca="false">H15-I15</f>
        <v>-1</v>
      </c>
      <c r="K15" s="16" t="n">
        <v>2</v>
      </c>
      <c r="L15" s="16" t="n">
        <v>1</v>
      </c>
      <c r="M15" s="16" t="n">
        <f aca="false">K15/5</f>
        <v>0.4</v>
      </c>
      <c r="N15" s="16" t="n">
        <f aca="false">L15/5</f>
        <v>0.2</v>
      </c>
      <c r="O15" s="16" t="n">
        <f aca="false">M15-N15</f>
        <v>0.2</v>
      </c>
    </row>
    <row r="16" customFormat="false" ht="15" hidden="false" customHeight="false" outlineLevel="0" collapsed="false">
      <c r="A16" s="16" t="n">
        <v>15</v>
      </c>
      <c r="B16" s="16" t="s">
        <v>58</v>
      </c>
      <c r="C16" s="16" t="s">
        <v>59</v>
      </c>
      <c r="D16" s="16" t="s">
        <v>167</v>
      </c>
      <c r="E16" s="16" t="s">
        <v>168</v>
      </c>
      <c r="F16" s="16" t="n">
        <v>3</v>
      </c>
      <c r="G16" s="16" t="n">
        <v>10</v>
      </c>
      <c r="H16" s="16" t="n">
        <f aca="false">F16/5</f>
        <v>0.6</v>
      </c>
      <c r="I16" s="16" t="n">
        <f aca="false">G16/5</f>
        <v>2</v>
      </c>
      <c r="J16" s="16" t="n">
        <f aca="false">H16-I16</f>
        <v>-1.4</v>
      </c>
      <c r="K16" s="16" t="n">
        <v>3</v>
      </c>
      <c r="L16" s="16" t="n">
        <v>0</v>
      </c>
      <c r="M16" s="16" t="n">
        <f aca="false">K16/5</f>
        <v>0.6</v>
      </c>
      <c r="N16" s="16" t="n">
        <f aca="false">L16/5</f>
        <v>0</v>
      </c>
      <c r="O16" s="16" t="n">
        <f aca="false">M16-N16</f>
        <v>0.6</v>
      </c>
    </row>
    <row r="17" customFormat="false" ht="15" hidden="false" customHeight="false" outlineLevel="0" collapsed="false">
      <c r="A17" s="16" t="n">
        <v>16</v>
      </c>
      <c r="B17" s="16" t="s">
        <v>60</v>
      </c>
      <c r="C17" s="16" t="s">
        <v>61</v>
      </c>
      <c r="D17" s="16" t="s">
        <v>169</v>
      </c>
      <c r="E17" s="16" t="s">
        <v>170</v>
      </c>
      <c r="F17" s="16" t="n">
        <v>3</v>
      </c>
      <c r="G17" s="16" t="n">
        <v>2</v>
      </c>
      <c r="H17" s="16" t="n">
        <f aca="false">F17/5</f>
        <v>0.6</v>
      </c>
      <c r="I17" s="16" t="n">
        <f aca="false">G17/5</f>
        <v>0.4</v>
      </c>
      <c r="J17" s="16" t="n">
        <f aca="false">H17-I17</f>
        <v>0.2</v>
      </c>
      <c r="K17" s="16" t="n">
        <v>3</v>
      </c>
      <c r="L17" s="16" t="n">
        <v>4</v>
      </c>
      <c r="M17" s="16" t="n">
        <f aca="false">K17/5</f>
        <v>0.6</v>
      </c>
      <c r="N17" s="16" t="n">
        <f aca="false">L17/5</f>
        <v>0.8</v>
      </c>
      <c r="O17" s="16" t="n">
        <f aca="false">M17-N17</f>
        <v>-0.2</v>
      </c>
    </row>
    <row r="18" customFormat="false" ht="15" hidden="false" customHeight="false" outlineLevel="0" collapsed="false">
      <c r="A18" s="16" t="n">
        <v>17</v>
      </c>
      <c r="B18" s="16" t="s">
        <v>63</v>
      </c>
      <c r="C18" s="16" t="s">
        <v>64</v>
      </c>
      <c r="D18" s="16" t="s">
        <v>171</v>
      </c>
      <c r="E18" s="16" t="s">
        <v>172</v>
      </c>
      <c r="F18" s="16" t="n">
        <v>6</v>
      </c>
      <c r="G18" s="16" t="n">
        <v>7</v>
      </c>
      <c r="H18" s="16" t="n">
        <f aca="false">F18/5</f>
        <v>1.2</v>
      </c>
      <c r="I18" s="16" t="n">
        <f aca="false">G18/5</f>
        <v>1.4</v>
      </c>
      <c r="J18" s="16" t="n">
        <f aca="false">H18-I18</f>
        <v>-0.2</v>
      </c>
      <c r="K18" s="16" t="n">
        <v>0</v>
      </c>
      <c r="L18" s="16" t="n">
        <v>2</v>
      </c>
      <c r="M18" s="16" t="n">
        <f aca="false">K18/5</f>
        <v>0</v>
      </c>
      <c r="N18" s="16" t="n">
        <f aca="false">L18/5</f>
        <v>0.4</v>
      </c>
      <c r="O18" s="16" t="n">
        <f aca="false">M18-N18</f>
        <v>-0.4</v>
      </c>
    </row>
    <row r="19" customFormat="false" ht="15" hidden="false" customHeight="false" outlineLevel="0" collapsed="false">
      <c r="A19" s="16" t="n">
        <v>18</v>
      </c>
      <c r="B19" s="16" t="s">
        <v>65</v>
      </c>
      <c r="C19" s="16" t="s">
        <v>66</v>
      </c>
      <c r="D19" s="16" t="s">
        <v>173</v>
      </c>
      <c r="E19" s="16" t="s">
        <v>174</v>
      </c>
      <c r="F19" s="16" t="n">
        <v>5</v>
      </c>
      <c r="G19" s="16" t="n">
        <v>5</v>
      </c>
      <c r="H19" s="16" t="n">
        <f aca="false">F19/5</f>
        <v>1</v>
      </c>
      <c r="I19" s="16" t="n">
        <f aca="false">G19/5</f>
        <v>1</v>
      </c>
      <c r="J19" s="16" t="n">
        <f aca="false">H19-I19</f>
        <v>0</v>
      </c>
      <c r="K19" s="16" t="n">
        <v>1</v>
      </c>
      <c r="L19" s="16" t="n">
        <v>1</v>
      </c>
      <c r="M19" s="16" t="n">
        <f aca="false">K19/5</f>
        <v>0.2</v>
      </c>
      <c r="N19" s="16" t="n">
        <f aca="false">L19/5</f>
        <v>0.2</v>
      </c>
      <c r="O19" s="16" t="n">
        <f aca="false">M19-N19</f>
        <v>0</v>
      </c>
    </row>
    <row r="20" customFormat="false" ht="15" hidden="false" customHeight="false" outlineLevel="0" collapsed="false">
      <c r="A20" s="16" t="n">
        <v>19</v>
      </c>
      <c r="B20" s="16" t="s">
        <v>68</v>
      </c>
      <c r="C20" s="16" t="s">
        <v>69</v>
      </c>
      <c r="D20" s="16" t="s">
        <v>175</v>
      </c>
      <c r="E20" s="16" t="s">
        <v>176</v>
      </c>
      <c r="F20" s="16" t="n">
        <v>1</v>
      </c>
      <c r="G20" s="16" t="n">
        <v>2</v>
      </c>
      <c r="H20" s="16" t="n">
        <f aca="false">F20/5</f>
        <v>0.2</v>
      </c>
      <c r="I20" s="16" t="n">
        <f aca="false">G20/5</f>
        <v>0.4</v>
      </c>
      <c r="J20" s="16" t="n">
        <f aca="false">H20-I20</f>
        <v>-0.2</v>
      </c>
      <c r="K20" s="16" t="n">
        <v>4</v>
      </c>
      <c r="L20" s="16" t="n">
        <v>4</v>
      </c>
      <c r="M20" s="16" t="n">
        <f aca="false">K20/5</f>
        <v>0.8</v>
      </c>
      <c r="N20" s="16" t="n">
        <f aca="false">L20/5</f>
        <v>0.8</v>
      </c>
      <c r="O20" s="16" t="n">
        <f aca="false">M20-N20</f>
        <v>0</v>
      </c>
    </row>
    <row r="21" customFormat="false" ht="15" hidden="false" customHeight="false" outlineLevel="0" collapsed="false">
      <c r="A21" s="16" t="n">
        <v>20</v>
      </c>
      <c r="B21" s="16" t="s">
        <v>70</v>
      </c>
      <c r="C21" s="16" t="s">
        <v>71</v>
      </c>
      <c r="D21" s="16" t="s">
        <v>177</v>
      </c>
      <c r="E21" s="16" t="s">
        <v>178</v>
      </c>
      <c r="F21" s="16" t="n">
        <v>2</v>
      </c>
      <c r="G21" s="16" t="n">
        <v>13</v>
      </c>
      <c r="H21" s="16" t="n">
        <f aca="false">F21/5</f>
        <v>0.4</v>
      </c>
      <c r="I21" s="16" t="n">
        <f aca="false">G21/5</f>
        <v>2.6</v>
      </c>
      <c r="J21" s="16" t="n">
        <f aca="false">H21-I21</f>
        <v>-2.2</v>
      </c>
      <c r="K21" s="16" t="n">
        <v>3</v>
      </c>
      <c r="L21" s="16" t="n">
        <v>0</v>
      </c>
      <c r="M21" s="16" t="n">
        <f aca="false">K21/5</f>
        <v>0.6</v>
      </c>
      <c r="N21" s="16" t="n">
        <f aca="false">L21/5</f>
        <v>0</v>
      </c>
      <c r="O21" s="16" t="n">
        <f aca="false">M21-N21</f>
        <v>0.6</v>
      </c>
    </row>
    <row r="22" customFormat="false" ht="15" hidden="false" customHeight="false" outlineLevel="0" collapsed="false">
      <c r="A22" s="16" t="n">
        <v>21</v>
      </c>
      <c r="B22" s="16" t="s">
        <v>73</v>
      </c>
      <c r="C22" s="16" t="s">
        <v>74</v>
      </c>
      <c r="D22" s="16" t="s">
        <v>179</v>
      </c>
      <c r="E22" s="16" t="s">
        <v>180</v>
      </c>
      <c r="F22" s="16" t="n">
        <v>11</v>
      </c>
      <c r="G22" s="16" t="n">
        <v>11</v>
      </c>
      <c r="H22" s="16" t="n">
        <f aca="false">F22/5</f>
        <v>2.2</v>
      </c>
      <c r="I22" s="16" t="n">
        <f aca="false">G22/5</f>
        <v>2.2</v>
      </c>
      <c r="J22" s="16" t="n">
        <f aca="false">H22-I22</f>
        <v>0</v>
      </c>
      <c r="K22" s="16" t="n">
        <v>0</v>
      </c>
      <c r="L22" s="16" t="n">
        <v>0</v>
      </c>
      <c r="M22" s="16" t="n">
        <f aca="false">K22/5</f>
        <v>0</v>
      </c>
      <c r="N22" s="16" t="n">
        <f aca="false">L22/5</f>
        <v>0</v>
      </c>
      <c r="O22" s="16" t="n">
        <f aca="false">M22-N22</f>
        <v>0</v>
      </c>
    </row>
    <row r="23" customFormat="false" ht="15" hidden="false" customHeight="false" outlineLevel="0" collapsed="false">
      <c r="A23" s="16" t="n">
        <v>22</v>
      </c>
      <c r="B23" s="16" t="s">
        <v>75</v>
      </c>
      <c r="C23" s="16" t="s">
        <v>76</v>
      </c>
      <c r="D23" s="16" t="s">
        <v>181</v>
      </c>
      <c r="E23" s="16" t="s">
        <v>182</v>
      </c>
      <c r="F23" s="16" t="n">
        <v>2</v>
      </c>
      <c r="G23" s="16" t="n">
        <v>9</v>
      </c>
      <c r="H23" s="16" t="n">
        <f aca="false">F23/5</f>
        <v>0.4</v>
      </c>
      <c r="I23" s="16" t="n">
        <f aca="false">G23/5</f>
        <v>1.8</v>
      </c>
      <c r="J23" s="16" t="n">
        <f aca="false">H23-I23</f>
        <v>-1.4</v>
      </c>
      <c r="K23" s="16" t="n">
        <v>3</v>
      </c>
      <c r="L23" s="16" t="n">
        <v>0</v>
      </c>
      <c r="M23" s="16" t="n">
        <f aca="false">K23/5</f>
        <v>0.6</v>
      </c>
      <c r="N23" s="16" t="n">
        <f aca="false">L23/5</f>
        <v>0</v>
      </c>
      <c r="O23" s="16" t="n">
        <f aca="false">M23-N23</f>
        <v>0.6</v>
      </c>
    </row>
    <row r="24" customFormat="false" ht="15" hidden="false" customHeight="false" outlineLevel="0" collapsed="false">
      <c r="A24" s="16" t="n">
        <v>23</v>
      </c>
      <c r="B24" s="16" t="s">
        <v>78</v>
      </c>
      <c r="C24" s="16" t="s">
        <v>79</v>
      </c>
      <c r="D24" s="16" t="s">
        <v>183</v>
      </c>
      <c r="E24" s="16" t="s">
        <v>184</v>
      </c>
      <c r="F24" s="16" t="n">
        <v>3</v>
      </c>
      <c r="G24" s="16" t="n">
        <v>3</v>
      </c>
      <c r="H24" s="16" t="n">
        <f aca="false">F24/5</f>
        <v>0.6</v>
      </c>
      <c r="I24" s="16" t="n">
        <f aca="false">G24/5</f>
        <v>0.6</v>
      </c>
      <c r="J24" s="16" t="n">
        <f aca="false">H24-I24</f>
        <v>0</v>
      </c>
      <c r="K24" s="16" t="n">
        <v>2</v>
      </c>
      <c r="L24" s="16" t="n">
        <v>3</v>
      </c>
      <c r="M24" s="16" t="n">
        <f aca="false">K24/5</f>
        <v>0.4</v>
      </c>
      <c r="N24" s="16" t="n">
        <f aca="false">L24/5</f>
        <v>0.6</v>
      </c>
      <c r="O24" s="16" t="n">
        <f aca="false">M24-N24</f>
        <v>-0.2</v>
      </c>
    </row>
    <row r="25" customFormat="false" ht="15" hidden="false" customHeight="false" outlineLevel="0" collapsed="false">
      <c r="A25" s="16" t="n">
        <v>24</v>
      </c>
      <c r="B25" s="16" t="s">
        <v>80</v>
      </c>
      <c r="C25" s="16" t="s">
        <v>81</v>
      </c>
      <c r="D25" s="16" t="s">
        <v>185</v>
      </c>
      <c r="E25" s="16" t="s">
        <v>186</v>
      </c>
      <c r="F25" s="16" t="n">
        <v>7</v>
      </c>
      <c r="G25" s="16" t="n">
        <v>6</v>
      </c>
      <c r="H25" s="16" t="n">
        <f aca="false">F25/5</f>
        <v>1.4</v>
      </c>
      <c r="I25" s="16" t="n">
        <f aca="false">G25/5</f>
        <v>1.2</v>
      </c>
      <c r="J25" s="16" t="n">
        <f aca="false">H25-I25</f>
        <v>0.2</v>
      </c>
      <c r="K25" s="16" t="n">
        <v>1</v>
      </c>
      <c r="L25" s="16" t="n">
        <v>2</v>
      </c>
      <c r="M25" s="16" t="n">
        <f aca="false">K25/5</f>
        <v>0.2</v>
      </c>
      <c r="N25" s="16" t="n">
        <f aca="false">L25/5</f>
        <v>0.4</v>
      </c>
      <c r="O25" s="16" t="n">
        <f aca="false">M25-N25</f>
        <v>-0.2</v>
      </c>
    </row>
    <row r="26" customFormat="false" ht="15" hidden="false" customHeight="false" outlineLevel="0" collapsed="false">
      <c r="A26" s="16" t="n">
        <v>25</v>
      </c>
      <c r="B26" s="16" t="s">
        <v>26</v>
      </c>
      <c r="C26" s="16" t="s">
        <v>23</v>
      </c>
      <c r="D26" s="16" t="s">
        <v>187</v>
      </c>
      <c r="E26" s="16" t="s">
        <v>188</v>
      </c>
      <c r="F26" s="16" t="n">
        <v>8</v>
      </c>
      <c r="G26" s="16" t="n">
        <v>5</v>
      </c>
      <c r="H26" s="16" t="n">
        <f aca="false">F26/5</f>
        <v>1.6</v>
      </c>
      <c r="I26" s="16" t="n">
        <f aca="false">G26/5</f>
        <v>1</v>
      </c>
      <c r="J26" s="16" t="n">
        <f aca="false">H26-I26</f>
        <v>0.6</v>
      </c>
      <c r="K26" s="16" t="n">
        <v>0</v>
      </c>
      <c r="L26" s="16" t="n">
        <v>2</v>
      </c>
      <c r="M26" s="16" t="n">
        <f aca="false">K26/5</f>
        <v>0</v>
      </c>
      <c r="N26" s="16" t="n">
        <f aca="false">L26/5</f>
        <v>0.4</v>
      </c>
      <c r="O26" s="16" t="n">
        <f aca="false">M26-N26</f>
        <v>-0.4</v>
      </c>
    </row>
    <row r="27" customFormat="false" ht="15" hidden="false" customHeight="false" outlineLevel="0" collapsed="false">
      <c r="A27" s="16" t="n">
        <v>26</v>
      </c>
      <c r="B27" s="16" t="s">
        <v>41</v>
      </c>
      <c r="C27" s="16" t="s">
        <v>29</v>
      </c>
      <c r="D27" s="16" t="s">
        <v>189</v>
      </c>
      <c r="E27" s="16" t="s">
        <v>190</v>
      </c>
      <c r="F27" s="16" t="n">
        <v>7</v>
      </c>
      <c r="G27" s="16" t="n">
        <v>4</v>
      </c>
      <c r="H27" s="16" t="n">
        <f aca="false">F27/5</f>
        <v>1.4</v>
      </c>
      <c r="I27" s="16" t="n">
        <f aca="false">G27/5</f>
        <v>0.8</v>
      </c>
      <c r="J27" s="16" t="n">
        <f aca="false">H27-I27</f>
        <v>0.6</v>
      </c>
      <c r="K27" s="16" t="n">
        <v>1</v>
      </c>
      <c r="L27" s="16" t="n">
        <v>1</v>
      </c>
      <c r="M27" s="16" t="n">
        <f aca="false">K27/5</f>
        <v>0.2</v>
      </c>
      <c r="N27" s="16" t="n">
        <f aca="false">L27/5</f>
        <v>0.2</v>
      </c>
      <c r="O27" s="16" t="n">
        <f aca="false">M27-N27</f>
        <v>0</v>
      </c>
    </row>
    <row r="28" customFormat="false" ht="15" hidden="false" customHeight="false" outlineLevel="0" collapsed="false">
      <c r="A28" s="16" t="n">
        <v>27</v>
      </c>
      <c r="B28" s="16" t="s">
        <v>28</v>
      </c>
      <c r="C28" s="16" t="s">
        <v>40</v>
      </c>
      <c r="D28" s="16" t="s">
        <v>191</v>
      </c>
      <c r="E28" s="16" t="s">
        <v>192</v>
      </c>
      <c r="F28" s="16" t="n">
        <v>4</v>
      </c>
      <c r="G28" s="16" t="n">
        <v>6</v>
      </c>
      <c r="H28" s="16" t="n">
        <f aca="false">F28/5</f>
        <v>0.8</v>
      </c>
      <c r="I28" s="16" t="n">
        <f aca="false">G28/5</f>
        <v>1.2</v>
      </c>
      <c r="J28" s="16" t="n">
        <f aca="false">H28-I28</f>
        <v>-0.4</v>
      </c>
      <c r="K28" s="16" t="n">
        <v>2</v>
      </c>
      <c r="L28" s="16" t="n">
        <v>1</v>
      </c>
      <c r="M28" s="16" t="n">
        <f aca="false">K28/5</f>
        <v>0.4</v>
      </c>
      <c r="N28" s="16" t="n">
        <f aca="false">L28/5</f>
        <v>0.2</v>
      </c>
      <c r="O28" s="16" t="n">
        <f aca="false">M28-N28</f>
        <v>0.2</v>
      </c>
    </row>
    <row r="29" customFormat="false" ht="15" hidden="false" customHeight="false" outlineLevel="0" collapsed="false">
      <c r="A29" s="16" t="n">
        <v>28</v>
      </c>
      <c r="B29" s="16" t="s">
        <v>22</v>
      </c>
      <c r="C29" s="16" t="s">
        <v>25</v>
      </c>
      <c r="D29" s="16" t="s">
        <v>193</v>
      </c>
      <c r="E29" s="16" t="s">
        <v>194</v>
      </c>
      <c r="F29" s="16" t="n">
        <v>2</v>
      </c>
      <c r="G29" s="16" t="n">
        <v>6</v>
      </c>
      <c r="H29" s="16" t="n">
        <f aca="false">F29/5</f>
        <v>0.4</v>
      </c>
      <c r="I29" s="16" t="n">
        <f aca="false">G29/5</f>
        <v>1.2</v>
      </c>
      <c r="J29" s="16" t="n">
        <f aca="false">H29-I29</f>
        <v>-0.8</v>
      </c>
      <c r="K29" s="16" t="n">
        <v>3</v>
      </c>
      <c r="L29" s="16" t="n">
        <v>2</v>
      </c>
      <c r="M29" s="16" t="n">
        <f aca="false">K29/5</f>
        <v>0.6</v>
      </c>
      <c r="N29" s="16" t="n">
        <f aca="false">L29/5</f>
        <v>0.4</v>
      </c>
      <c r="O29" s="16" t="n">
        <f aca="false">M29-N29</f>
        <v>0.2</v>
      </c>
    </row>
    <row r="30" customFormat="false" ht="15" hidden="false" customHeight="false" outlineLevel="0" collapsed="false">
      <c r="A30" s="16" t="n">
        <v>29</v>
      </c>
      <c r="B30" s="16" t="s">
        <v>38</v>
      </c>
      <c r="C30" s="16" t="s">
        <v>34</v>
      </c>
      <c r="D30" s="16" t="s">
        <v>195</v>
      </c>
      <c r="E30" s="16" t="s">
        <v>196</v>
      </c>
      <c r="F30" s="16" t="n">
        <v>7</v>
      </c>
      <c r="G30" s="16" t="n">
        <v>5</v>
      </c>
      <c r="H30" s="16" t="n">
        <f aca="false">F30/5</f>
        <v>1.4</v>
      </c>
      <c r="I30" s="16" t="n">
        <f aca="false">G30/5</f>
        <v>1</v>
      </c>
      <c r="J30" s="16" t="n">
        <f aca="false">H30-I30</f>
        <v>0.4</v>
      </c>
      <c r="K30" s="16" t="n">
        <v>0</v>
      </c>
      <c r="L30" s="16" t="n">
        <v>1</v>
      </c>
      <c r="M30" s="16" t="n">
        <f aca="false">K30/5</f>
        <v>0</v>
      </c>
      <c r="N30" s="16" t="n">
        <f aca="false">L30/5</f>
        <v>0.2</v>
      </c>
      <c r="O30" s="16" t="n">
        <f aca="false">M30-N30</f>
        <v>-0.2</v>
      </c>
    </row>
    <row r="31" customFormat="false" ht="15" hidden="false" customHeight="false" outlineLevel="0" collapsed="false">
      <c r="A31" s="16" t="n">
        <v>30</v>
      </c>
      <c r="B31" s="16" t="s">
        <v>35</v>
      </c>
      <c r="C31" s="16" t="s">
        <v>39</v>
      </c>
      <c r="D31" s="16" t="s">
        <v>197</v>
      </c>
      <c r="E31" s="16" t="s">
        <v>198</v>
      </c>
      <c r="F31" s="16" t="n">
        <v>3</v>
      </c>
      <c r="G31" s="16" t="n">
        <v>3</v>
      </c>
      <c r="H31" s="16" t="n">
        <f aca="false">F31/5</f>
        <v>0.6</v>
      </c>
      <c r="I31" s="16" t="n">
        <f aca="false">G31/5</f>
        <v>0.6</v>
      </c>
      <c r="J31" s="16" t="n">
        <f aca="false">H31-I31</f>
        <v>0</v>
      </c>
      <c r="K31" s="16" t="n">
        <v>2</v>
      </c>
      <c r="L31" s="16" t="n">
        <v>2</v>
      </c>
      <c r="M31" s="16" t="n">
        <f aca="false">K31/5</f>
        <v>0.4</v>
      </c>
      <c r="N31" s="16" t="n">
        <f aca="false">L31/5</f>
        <v>0.4</v>
      </c>
      <c r="O31" s="16" t="n">
        <f aca="false">M31-N31</f>
        <v>0</v>
      </c>
    </row>
    <row r="32" customFormat="false" ht="15" hidden="false" customHeight="false" outlineLevel="0" collapsed="false">
      <c r="A32" s="16" t="n">
        <v>31</v>
      </c>
      <c r="B32" s="16" t="s">
        <v>37</v>
      </c>
      <c r="C32" s="16" t="s">
        <v>32</v>
      </c>
      <c r="D32" s="16" t="s">
        <v>199</v>
      </c>
      <c r="E32" s="16" t="s">
        <v>200</v>
      </c>
      <c r="F32" s="16" t="n">
        <v>3</v>
      </c>
      <c r="G32" s="16" t="n">
        <v>7</v>
      </c>
      <c r="H32" s="16" t="n">
        <f aca="false">F32/5</f>
        <v>0.6</v>
      </c>
      <c r="I32" s="16" t="n">
        <f aca="false">G32/5</f>
        <v>1.4</v>
      </c>
      <c r="J32" s="16" t="n">
        <f aca="false">H32-I32</f>
        <v>-0.8</v>
      </c>
      <c r="K32" s="16" t="n">
        <v>3</v>
      </c>
      <c r="L32" s="16" t="n">
        <v>2</v>
      </c>
      <c r="M32" s="16" t="n">
        <f aca="false">K32/5</f>
        <v>0.6</v>
      </c>
      <c r="N32" s="16" t="n">
        <f aca="false">L32/5</f>
        <v>0.4</v>
      </c>
      <c r="O32" s="16" t="n">
        <f aca="false">M32-N32</f>
        <v>0.2</v>
      </c>
    </row>
    <row r="33" customFormat="false" ht="15" hidden="false" customHeight="false" outlineLevel="0" collapsed="false">
      <c r="A33" s="16" t="n">
        <v>32</v>
      </c>
      <c r="B33" s="16" t="s">
        <v>31</v>
      </c>
      <c r="C33" s="16" t="s">
        <v>36</v>
      </c>
      <c r="D33" s="16" t="s">
        <v>201</v>
      </c>
      <c r="E33" s="16" t="s">
        <v>202</v>
      </c>
      <c r="F33" s="16" t="n">
        <v>12</v>
      </c>
      <c r="G33" s="16" t="n">
        <v>3</v>
      </c>
      <c r="H33" s="16" t="n">
        <f aca="false">F33/5</f>
        <v>2.4</v>
      </c>
      <c r="I33" s="16" t="n">
        <f aca="false">G33/5</f>
        <v>0.6</v>
      </c>
      <c r="J33" s="16" t="n">
        <f aca="false">H33-I33</f>
        <v>1.8</v>
      </c>
      <c r="K33" s="16" t="n">
        <v>0</v>
      </c>
      <c r="L33" s="16" t="n">
        <v>2</v>
      </c>
      <c r="M33" s="16" t="n">
        <f aca="false">K33/5</f>
        <v>0</v>
      </c>
      <c r="N33" s="16" t="n">
        <f aca="false">L33/5</f>
        <v>0.4</v>
      </c>
      <c r="O33" s="16" t="n">
        <f aca="false">M33-N33</f>
        <v>-0.4</v>
      </c>
    </row>
    <row r="34" customFormat="false" ht="15" hidden="false" customHeight="false" outlineLevel="0" collapsed="false">
      <c r="A34" s="16" t="n">
        <v>33</v>
      </c>
      <c r="B34" s="16" t="s">
        <v>45</v>
      </c>
      <c r="C34" s="16" t="s">
        <v>43</v>
      </c>
      <c r="D34" s="16" t="s">
        <v>203</v>
      </c>
      <c r="E34" s="16" t="s">
        <v>204</v>
      </c>
      <c r="F34" s="16" t="n">
        <v>6</v>
      </c>
      <c r="G34" s="16" t="n">
        <v>4</v>
      </c>
      <c r="H34" s="16" t="n">
        <f aca="false">F34/5</f>
        <v>1.2</v>
      </c>
      <c r="I34" s="16" t="n">
        <f aca="false">G34/5</f>
        <v>0.8</v>
      </c>
      <c r="J34" s="16" t="n">
        <f aca="false">H34-I34</f>
        <v>0.4</v>
      </c>
      <c r="K34" s="16" t="n">
        <v>1</v>
      </c>
      <c r="L34" s="16" t="n">
        <v>3</v>
      </c>
      <c r="M34" s="16" t="n">
        <f aca="false">K34/5</f>
        <v>0.2</v>
      </c>
      <c r="N34" s="16" t="n">
        <f aca="false">L34/5</f>
        <v>0.6</v>
      </c>
      <c r="O34" s="16" t="n">
        <f aca="false">M34-N34</f>
        <v>-0.4</v>
      </c>
    </row>
    <row r="35" customFormat="false" ht="15" hidden="false" customHeight="false" outlineLevel="0" collapsed="false">
      <c r="A35" s="16" t="n">
        <v>34</v>
      </c>
      <c r="B35" s="16" t="s">
        <v>44</v>
      </c>
      <c r="C35" s="16" t="s">
        <v>46</v>
      </c>
      <c r="D35" s="16" t="s">
        <v>205</v>
      </c>
      <c r="E35" s="16" t="s">
        <v>206</v>
      </c>
      <c r="F35" s="16" t="n">
        <v>4</v>
      </c>
      <c r="G35" s="16" t="n">
        <v>18</v>
      </c>
      <c r="H35" s="16" t="n">
        <f aca="false">F35/5</f>
        <v>0.8</v>
      </c>
      <c r="I35" s="16" t="n">
        <f aca="false">G35/5</f>
        <v>3.6</v>
      </c>
      <c r="J35" s="16" t="n">
        <f aca="false">H35-I35</f>
        <v>-2.8</v>
      </c>
      <c r="K35" s="16" t="n">
        <v>1</v>
      </c>
      <c r="L35" s="16" t="n">
        <v>1</v>
      </c>
      <c r="M35" s="16" t="n">
        <f aca="false">K35/5</f>
        <v>0.2</v>
      </c>
      <c r="N35" s="16" t="n">
        <f aca="false">L35/5</f>
        <v>0.2</v>
      </c>
      <c r="O35" s="16" t="n">
        <f aca="false">M35-N35</f>
        <v>0</v>
      </c>
    </row>
    <row r="36" customFormat="false" ht="15" hidden="false" customHeight="false" outlineLevel="0" collapsed="false">
      <c r="A36" s="16" t="n">
        <v>35</v>
      </c>
      <c r="B36" s="16" t="s">
        <v>48</v>
      </c>
      <c r="C36" s="16" t="s">
        <v>50</v>
      </c>
      <c r="D36" s="16" t="s">
        <v>207</v>
      </c>
      <c r="E36" s="16" t="s">
        <v>208</v>
      </c>
      <c r="F36" s="16" t="n">
        <v>6</v>
      </c>
      <c r="G36" s="16" t="n">
        <v>9</v>
      </c>
      <c r="H36" s="16" t="n">
        <f aca="false">F36/5</f>
        <v>1.2</v>
      </c>
      <c r="I36" s="16" t="n">
        <f aca="false">G36/5</f>
        <v>1.8</v>
      </c>
      <c r="J36" s="16" t="n">
        <f aca="false">H36-I36</f>
        <v>-0.6</v>
      </c>
      <c r="K36" s="16" t="n">
        <v>0</v>
      </c>
      <c r="L36" s="16" t="n">
        <v>0</v>
      </c>
      <c r="M36" s="16" t="n">
        <f aca="false">K36/5</f>
        <v>0</v>
      </c>
      <c r="N36" s="16" t="n">
        <f aca="false">L36/5</f>
        <v>0</v>
      </c>
      <c r="O36" s="16" t="n">
        <f aca="false">M36-N36</f>
        <v>0</v>
      </c>
    </row>
    <row r="37" customFormat="false" ht="15" hidden="false" customHeight="false" outlineLevel="0" collapsed="false">
      <c r="A37" s="16" t="n">
        <v>36</v>
      </c>
      <c r="B37" s="16" t="s">
        <v>51</v>
      </c>
      <c r="C37" s="16" t="s">
        <v>49</v>
      </c>
      <c r="D37" s="16" t="s">
        <v>209</v>
      </c>
      <c r="E37" s="16" t="s">
        <v>210</v>
      </c>
      <c r="F37" s="16" t="n">
        <v>11</v>
      </c>
      <c r="G37" s="16" t="n">
        <v>2</v>
      </c>
      <c r="H37" s="16" t="n">
        <f aca="false">F37/5</f>
        <v>2.2</v>
      </c>
      <c r="I37" s="16" t="n">
        <f aca="false">G37/5</f>
        <v>0.4</v>
      </c>
      <c r="J37" s="16" t="n">
        <f aca="false">H37-I37</f>
        <v>1.8</v>
      </c>
      <c r="K37" s="16" t="n">
        <v>2</v>
      </c>
      <c r="L37" s="16" t="n">
        <v>4</v>
      </c>
      <c r="M37" s="16" t="n">
        <f aca="false">K37/5</f>
        <v>0.4</v>
      </c>
      <c r="N37" s="16" t="n">
        <f aca="false">L37/5</f>
        <v>0.8</v>
      </c>
      <c r="O37" s="16" t="n">
        <f aca="false">M37-N37</f>
        <v>-0.4</v>
      </c>
    </row>
    <row r="38" customFormat="false" ht="15" hidden="false" customHeight="false" outlineLevel="0" collapsed="false">
      <c r="A38" s="16" t="n">
        <v>37</v>
      </c>
      <c r="B38" s="16" t="s">
        <v>54</v>
      </c>
      <c r="C38" s="16" t="s">
        <v>56</v>
      </c>
      <c r="D38" s="16" t="s">
        <v>211</v>
      </c>
      <c r="E38" s="16" t="s">
        <v>212</v>
      </c>
      <c r="F38" s="16" t="n">
        <v>7</v>
      </c>
      <c r="G38" s="16" t="n">
        <v>8</v>
      </c>
      <c r="H38" s="16" t="n">
        <f aca="false">F38/5</f>
        <v>1.4</v>
      </c>
      <c r="I38" s="16" t="n">
        <f aca="false">G38/5</f>
        <v>1.6</v>
      </c>
      <c r="J38" s="16" t="n">
        <f aca="false">H38-I38</f>
        <v>-0.2</v>
      </c>
      <c r="K38" s="16" t="n">
        <v>2</v>
      </c>
      <c r="L38" s="16" t="n">
        <v>2</v>
      </c>
      <c r="M38" s="16" t="n">
        <f aca="false">K38/5</f>
        <v>0.4</v>
      </c>
      <c r="N38" s="16" t="n">
        <f aca="false">L38/5</f>
        <v>0.4</v>
      </c>
      <c r="O38" s="16" t="n">
        <f aca="false">M38-N38</f>
        <v>0</v>
      </c>
    </row>
    <row r="39" customFormat="false" ht="15" hidden="false" customHeight="false" outlineLevel="0" collapsed="false">
      <c r="A39" s="16" t="n">
        <v>38</v>
      </c>
      <c r="B39" s="16" t="s">
        <v>55</v>
      </c>
      <c r="C39" s="16" t="s">
        <v>53</v>
      </c>
      <c r="D39" s="16" t="s">
        <v>213</v>
      </c>
      <c r="E39" s="16" t="s">
        <v>214</v>
      </c>
      <c r="F39" s="16" t="n">
        <v>2</v>
      </c>
      <c r="G39" s="16" t="n">
        <v>5</v>
      </c>
      <c r="H39" s="16" t="n">
        <f aca="false">F39/5</f>
        <v>0.4</v>
      </c>
      <c r="I39" s="16" t="n">
        <f aca="false">G39/5</f>
        <v>1</v>
      </c>
      <c r="J39" s="16" t="n">
        <f aca="false">H39-I39</f>
        <v>-0.6</v>
      </c>
      <c r="K39" s="16" t="n">
        <v>3</v>
      </c>
      <c r="L39" s="16" t="n">
        <v>2</v>
      </c>
      <c r="M39" s="16" t="n">
        <f aca="false">K39/5</f>
        <v>0.6</v>
      </c>
      <c r="N39" s="16" t="n">
        <f aca="false">L39/5</f>
        <v>0.4</v>
      </c>
      <c r="O39" s="16" t="n">
        <f aca="false">M39-N39</f>
        <v>0.2</v>
      </c>
    </row>
    <row r="40" customFormat="false" ht="15" hidden="false" customHeight="false" outlineLevel="0" collapsed="false">
      <c r="A40" s="16" t="n">
        <v>39</v>
      </c>
      <c r="B40" s="16" t="s">
        <v>60</v>
      </c>
      <c r="C40" s="16" t="s">
        <v>58</v>
      </c>
      <c r="D40" s="16" t="s">
        <v>215</v>
      </c>
      <c r="E40" s="16" t="s">
        <v>216</v>
      </c>
      <c r="F40" s="16" t="n">
        <v>4</v>
      </c>
      <c r="G40" s="16" t="n">
        <v>5</v>
      </c>
      <c r="H40" s="16" t="n">
        <f aca="false">F40/5</f>
        <v>0.8</v>
      </c>
      <c r="I40" s="16" t="n">
        <f aca="false">G40/5</f>
        <v>1</v>
      </c>
      <c r="J40" s="16" t="n">
        <f aca="false">H40-I40</f>
        <v>-0.2</v>
      </c>
      <c r="K40" s="16" t="n">
        <v>2</v>
      </c>
      <c r="L40" s="16" t="n">
        <v>2</v>
      </c>
      <c r="M40" s="16" t="n">
        <f aca="false">K40/5</f>
        <v>0.4</v>
      </c>
      <c r="N40" s="16" t="n">
        <f aca="false">L40/5</f>
        <v>0.4</v>
      </c>
      <c r="O40" s="16" t="n">
        <f aca="false">M40-N40</f>
        <v>0</v>
      </c>
    </row>
    <row r="41" customFormat="false" ht="15" hidden="false" customHeight="false" outlineLevel="0" collapsed="false">
      <c r="A41" s="16" t="n">
        <v>40</v>
      </c>
      <c r="B41" s="16" t="s">
        <v>59</v>
      </c>
      <c r="C41" s="16" t="s">
        <v>61</v>
      </c>
      <c r="D41" s="16" t="s">
        <v>217</v>
      </c>
      <c r="E41" s="16" t="s">
        <v>218</v>
      </c>
      <c r="F41" s="16" t="n">
        <v>10</v>
      </c>
      <c r="G41" s="16" t="n">
        <v>3</v>
      </c>
      <c r="H41" s="16" t="n">
        <f aca="false">F41/5</f>
        <v>2</v>
      </c>
      <c r="I41" s="16" t="n">
        <f aca="false">G41/5</f>
        <v>0.6</v>
      </c>
      <c r="J41" s="16" t="n">
        <f aca="false">H41-I41</f>
        <v>1.4</v>
      </c>
      <c r="K41" s="16" t="n">
        <v>0</v>
      </c>
      <c r="L41" s="16" t="n">
        <v>3</v>
      </c>
      <c r="M41" s="16" t="n">
        <f aca="false">K41/5</f>
        <v>0</v>
      </c>
      <c r="N41" s="16" t="n">
        <f aca="false">L41/5</f>
        <v>0.6</v>
      </c>
      <c r="O41" s="16" t="n">
        <f aca="false">M41-N41</f>
        <v>-0.6</v>
      </c>
    </row>
    <row r="42" customFormat="false" ht="15" hidden="false" customHeight="false" outlineLevel="0" collapsed="false">
      <c r="A42" s="16" t="n">
        <v>41</v>
      </c>
      <c r="B42" s="16" t="s">
        <v>66</v>
      </c>
      <c r="C42" s="16" t="s">
        <v>64</v>
      </c>
      <c r="D42" s="16" t="s">
        <v>219</v>
      </c>
      <c r="E42" s="16" t="s">
        <v>220</v>
      </c>
      <c r="F42" s="16" t="n">
        <v>5</v>
      </c>
      <c r="G42" s="16" t="n">
        <v>7</v>
      </c>
      <c r="H42" s="16" t="n">
        <f aca="false">F42/5</f>
        <v>1</v>
      </c>
      <c r="I42" s="16" t="n">
        <f aca="false">G42/5</f>
        <v>1.4</v>
      </c>
      <c r="J42" s="16" t="n">
        <f aca="false">H42-I42</f>
        <v>-0.4</v>
      </c>
      <c r="K42" s="16" t="n">
        <v>1</v>
      </c>
      <c r="L42" s="16" t="n">
        <v>2</v>
      </c>
      <c r="M42" s="16" t="n">
        <f aca="false">K42/5</f>
        <v>0.2</v>
      </c>
      <c r="N42" s="16" t="n">
        <f aca="false">L42/5</f>
        <v>0.4</v>
      </c>
      <c r="O42" s="16" t="n">
        <f aca="false">M42-N42</f>
        <v>-0.2</v>
      </c>
    </row>
    <row r="43" customFormat="false" ht="15" hidden="false" customHeight="false" outlineLevel="0" collapsed="false">
      <c r="A43" s="16" t="n">
        <v>42</v>
      </c>
      <c r="B43" s="16" t="s">
        <v>63</v>
      </c>
      <c r="C43" s="16" t="s">
        <v>65</v>
      </c>
      <c r="D43" s="16" t="s">
        <v>221</v>
      </c>
      <c r="E43" s="16" t="s">
        <v>222</v>
      </c>
      <c r="F43" s="16" t="n">
        <v>6</v>
      </c>
      <c r="G43" s="16" t="n">
        <v>8</v>
      </c>
      <c r="H43" s="16" t="n">
        <f aca="false">F43/5</f>
        <v>1.2</v>
      </c>
      <c r="I43" s="16" t="n">
        <f aca="false">G43/5</f>
        <v>1.6</v>
      </c>
      <c r="J43" s="16" t="n">
        <f aca="false">H43-I43</f>
        <v>-0.4</v>
      </c>
      <c r="K43" s="16" t="n">
        <v>0</v>
      </c>
      <c r="L43" s="16" t="n">
        <v>1</v>
      </c>
      <c r="M43" s="16" t="n">
        <f aca="false">K43/5</f>
        <v>0</v>
      </c>
      <c r="N43" s="16" t="n">
        <f aca="false">L43/5</f>
        <v>0.2</v>
      </c>
      <c r="O43" s="16" t="n">
        <f aca="false">M43-N43</f>
        <v>-0.2</v>
      </c>
    </row>
    <row r="44" customFormat="false" ht="15" hidden="false" customHeight="false" outlineLevel="0" collapsed="false">
      <c r="A44" s="16" t="n">
        <v>43</v>
      </c>
      <c r="B44" s="16" t="s">
        <v>68</v>
      </c>
      <c r="C44" s="16" t="s">
        <v>70</v>
      </c>
      <c r="D44" s="16" t="s">
        <v>223</v>
      </c>
      <c r="E44" s="16" t="s">
        <v>224</v>
      </c>
      <c r="F44" s="16" t="n">
        <v>1</v>
      </c>
      <c r="G44" s="16" t="n">
        <v>3</v>
      </c>
      <c r="H44" s="16" t="n">
        <f aca="false">F44/5</f>
        <v>0.2</v>
      </c>
      <c r="I44" s="16" t="n">
        <f aca="false">G44/5</f>
        <v>0.6</v>
      </c>
      <c r="J44" s="16" t="n">
        <f aca="false">H44-I44</f>
        <v>-0.4</v>
      </c>
      <c r="K44" s="16" t="n">
        <v>4</v>
      </c>
      <c r="L44" s="16" t="n">
        <v>2</v>
      </c>
      <c r="M44" s="16" t="n">
        <f aca="false">K44/5</f>
        <v>0.8</v>
      </c>
      <c r="N44" s="16" t="n">
        <f aca="false">L44/5</f>
        <v>0.4</v>
      </c>
      <c r="O44" s="16" t="n">
        <f aca="false">M44-N44</f>
        <v>0.4</v>
      </c>
    </row>
    <row r="45" customFormat="false" ht="15" hidden="false" customHeight="false" outlineLevel="0" collapsed="false">
      <c r="A45" s="16" t="n">
        <v>44</v>
      </c>
      <c r="B45" s="16" t="s">
        <v>71</v>
      </c>
      <c r="C45" s="16" t="s">
        <v>69</v>
      </c>
      <c r="D45" s="16" t="s">
        <v>225</v>
      </c>
      <c r="E45" s="16" t="s">
        <v>226</v>
      </c>
      <c r="F45" s="16" t="n">
        <v>13</v>
      </c>
      <c r="G45" s="16" t="n">
        <v>3</v>
      </c>
      <c r="H45" s="16" t="n">
        <f aca="false">F45/5</f>
        <v>2.6</v>
      </c>
      <c r="I45" s="16" t="n">
        <f aca="false">G45/5</f>
        <v>0.6</v>
      </c>
      <c r="J45" s="16" t="n">
        <f aca="false">H45-I45</f>
        <v>2</v>
      </c>
      <c r="K45" s="16" t="n">
        <v>0</v>
      </c>
      <c r="L45" s="16" t="n">
        <v>4</v>
      </c>
      <c r="M45" s="16" t="n">
        <f aca="false">K45/5</f>
        <v>0</v>
      </c>
      <c r="N45" s="16" t="n">
        <f aca="false">L45/5</f>
        <v>0.8</v>
      </c>
      <c r="O45" s="16" t="n">
        <f aca="false">M45-N45</f>
        <v>-0.8</v>
      </c>
    </row>
    <row r="46" customFormat="false" ht="15" hidden="false" customHeight="false" outlineLevel="0" collapsed="false">
      <c r="A46" s="16" t="n">
        <v>45</v>
      </c>
      <c r="B46" s="16" t="s">
        <v>75</v>
      </c>
      <c r="C46" s="16" t="s">
        <v>73</v>
      </c>
      <c r="D46" s="16" t="s">
        <v>227</v>
      </c>
      <c r="E46" s="16" t="s">
        <v>228</v>
      </c>
      <c r="F46" s="16" t="n">
        <v>4</v>
      </c>
      <c r="G46" s="16" t="n">
        <v>10</v>
      </c>
      <c r="H46" s="16" t="n">
        <f aca="false">F46/5</f>
        <v>0.8</v>
      </c>
      <c r="I46" s="16" t="n">
        <f aca="false">G46/5</f>
        <v>2</v>
      </c>
      <c r="J46" s="16" t="n">
        <f aca="false">H46-I46</f>
        <v>-1.2</v>
      </c>
      <c r="K46" s="16" t="n">
        <v>2</v>
      </c>
      <c r="L46" s="16" t="n">
        <v>1</v>
      </c>
      <c r="M46" s="16" t="n">
        <f aca="false">K46/5</f>
        <v>0.4</v>
      </c>
      <c r="N46" s="16" t="n">
        <f aca="false">L46/5</f>
        <v>0.2</v>
      </c>
      <c r="O46" s="16" t="n">
        <f aca="false">M46-N46</f>
        <v>0.2</v>
      </c>
    </row>
    <row r="47" customFormat="false" ht="15" hidden="false" customHeight="false" outlineLevel="0" collapsed="false">
      <c r="A47" s="16" t="n">
        <v>46</v>
      </c>
      <c r="B47" s="16" t="s">
        <v>74</v>
      </c>
      <c r="C47" s="16" t="s">
        <v>76</v>
      </c>
      <c r="D47" s="16" t="s">
        <v>229</v>
      </c>
      <c r="E47" s="16" t="s">
        <v>230</v>
      </c>
      <c r="F47" s="16" t="n">
        <v>11</v>
      </c>
      <c r="G47" s="16" t="n">
        <v>11</v>
      </c>
      <c r="H47" s="16" t="n">
        <f aca="false">F47/5</f>
        <v>2.2</v>
      </c>
      <c r="I47" s="16" t="n">
        <f aca="false">G47/5</f>
        <v>2.2</v>
      </c>
      <c r="J47" s="16" t="n">
        <f aca="false">H47-I47</f>
        <v>0</v>
      </c>
      <c r="K47" s="16" t="n">
        <v>0</v>
      </c>
      <c r="L47" s="16" t="n">
        <v>0</v>
      </c>
      <c r="M47" s="16" t="n">
        <f aca="false">K47/5</f>
        <v>0</v>
      </c>
      <c r="N47" s="16" t="n">
        <f aca="false">L47/5</f>
        <v>0</v>
      </c>
      <c r="O47" s="16" t="n">
        <f aca="false">M47-N47</f>
        <v>0</v>
      </c>
    </row>
    <row r="48" customFormat="false" ht="15" hidden="false" customHeight="false" outlineLevel="0" collapsed="false">
      <c r="A48" s="16" t="n">
        <v>47</v>
      </c>
      <c r="B48" s="16" t="s">
        <v>78</v>
      </c>
      <c r="C48" s="16" t="s">
        <v>80</v>
      </c>
      <c r="D48" s="16" t="s">
        <v>231</v>
      </c>
      <c r="E48" s="16" t="s">
        <v>232</v>
      </c>
      <c r="F48" s="16" t="n">
        <v>3</v>
      </c>
      <c r="G48" s="16" t="n">
        <v>8</v>
      </c>
      <c r="H48" s="16" t="n">
        <f aca="false">F48/5</f>
        <v>0.6</v>
      </c>
      <c r="I48" s="16" t="n">
        <f aca="false">G48/5</f>
        <v>1.6</v>
      </c>
      <c r="J48" s="16" t="n">
        <f aca="false">H48-I48</f>
        <v>-1</v>
      </c>
      <c r="K48" s="16" t="n">
        <v>2</v>
      </c>
      <c r="L48" s="16" t="n">
        <v>1</v>
      </c>
      <c r="M48" s="16" t="n">
        <f aca="false">K48/5</f>
        <v>0.4</v>
      </c>
      <c r="N48" s="16" t="n">
        <f aca="false">L48/5</f>
        <v>0.2</v>
      </c>
      <c r="O48" s="16" t="n">
        <f aca="false">M48-N48</f>
        <v>0.2</v>
      </c>
    </row>
    <row r="49" customFormat="false" ht="15" hidden="false" customHeight="false" outlineLevel="0" collapsed="false">
      <c r="A49" s="16" t="n">
        <v>48</v>
      </c>
      <c r="B49" s="16" t="s">
        <v>81</v>
      </c>
      <c r="C49" s="16" t="s">
        <v>79</v>
      </c>
      <c r="D49" s="16" t="s">
        <v>233</v>
      </c>
      <c r="E49" s="16" t="s">
        <v>234</v>
      </c>
      <c r="F49" s="16" t="n">
        <v>7</v>
      </c>
      <c r="G49" s="16" t="n">
        <v>3</v>
      </c>
      <c r="H49" s="16" t="n">
        <f aca="false">F49/5</f>
        <v>1.4</v>
      </c>
      <c r="I49" s="16" t="n">
        <f aca="false">G49/5</f>
        <v>0.6</v>
      </c>
      <c r="J49" s="16" t="n">
        <f aca="false">H49-I49</f>
        <v>0.8</v>
      </c>
      <c r="K49" s="16" t="n">
        <v>1</v>
      </c>
      <c r="L49" s="16" t="n">
        <v>3</v>
      </c>
      <c r="M49" s="16" t="n">
        <f aca="false">K49/5</f>
        <v>0.2</v>
      </c>
      <c r="N49" s="16" t="n">
        <f aca="false">L49/5</f>
        <v>0.6</v>
      </c>
      <c r="O49" s="16" t="n">
        <f aca="false">M49-N49</f>
        <v>-0.4</v>
      </c>
    </row>
    <row r="50" customFormat="false" ht="15" hidden="false" customHeight="false" outlineLevel="0" collapsed="false">
      <c r="A50" s="16" t="n">
        <v>49</v>
      </c>
      <c r="B50" s="16" t="s">
        <v>35</v>
      </c>
      <c r="C50" s="16" t="s">
        <v>38</v>
      </c>
      <c r="D50" s="16" t="s">
        <v>235</v>
      </c>
      <c r="E50" s="16" t="s">
        <v>236</v>
      </c>
      <c r="F50" s="16" t="n">
        <v>3</v>
      </c>
      <c r="G50" s="16" t="n">
        <v>5</v>
      </c>
      <c r="H50" s="16" t="n">
        <f aca="false">F50/5</f>
        <v>0.6</v>
      </c>
      <c r="I50" s="16" t="n">
        <f aca="false">G50/5</f>
        <v>1</v>
      </c>
      <c r="J50" s="16" t="n">
        <f aca="false">H50-I50</f>
        <v>-0.4</v>
      </c>
      <c r="K50" s="16" t="n">
        <v>2</v>
      </c>
      <c r="L50" s="16" t="n">
        <v>1</v>
      </c>
      <c r="M50" s="16" t="n">
        <f aca="false">K50/5</f>
        <v>0.4</v>
      </c>
      <c r="N50" s="16" t="n">
        <f aca="false">L50/5</f>
        <v>0.2</v>
      </c>
      <c r="O50" s="16" t="n">
        <f aca="false">M50-N50</f>
        <v>0.2</v>
      </c>
    </row>
    <row r="51" customFormat="false" ht="15" hidden="false" customHeight="false" outlineLevel="0" collapsed="false">
      <c r="A51" s="16" t="n">
        <v>50</v>
      </c>
      <c r="B51" s="16" t="s">
        <v>39</v>
      </c>
      <c r="C51" s="16" t="s">
        <v>34</v>
      </c>
      <c r="D51" s="16" t="s">
        <v>237</v>
      </c>
      <c r="E51" s="16" t="s">
        <v>238</v>
      </c>
      <c r="F51" s="16" t="n">
        <v>2</v>
      </c>
      <c r="G51" s="16" t="n">
        <v>7</v>
      </c>
      <c r="H51" s="16" t="n">
        <f aca="false">F51/5</f>
        <v>0.4</v>
      </c>
      <c r="I51" s="16" t="n">
        <f aca="false">G51/5</f>
        <v>1.4</v>
      </c>
      <c r="J51" s="16" t="n">
        <f aca="false">H51-I51</f>
        <v>-1</v>
      </c>
      <c r="K51" s="16" t="n">
        <v>3</v>
      </c>
      <c r="L51" s="16" t="n">
        <v>1</v>
      </c>
      <c r="M51" s="16" t="n">
        <f aca="false">K51/5</f>
        <v>0.6</v>
      </c>
      <c r="N51" s="16" t="n">
        <f aca="false">L51/5</f>
        <v>0.2</v>
      </c>
      <c r="O51" s="16" t="n">
        <f aca="false">M51-N51</f>
        <v>0.4</v>
      </c>
    </row>
    <row r="52" customFormat="false" ht="15" hidden="false" customHeight="false" outlineLevel="0" collapsed="false">
      <c r="A52" s="16" t="n">
        <v>51</v>
      </c>
      <c r="B52" s="16" t="s">
        <v>41</v>
      </c>
      <c r="C52" s="16" t="s">
        <v>28</v>
      </c>
      <c r="D52" s="16" t="s">
        <v>239</v>
      </c>
      <c r="E52" s="16" t="s">
        <v>240</v>
      </c>
      <c r="F52" s="16" t="n">
        <v>4</v>
      </c>
      <c r="G52" s="16" t="n">
        <v>2</v>
      </c>
      <c r="H52" s="16" t="n">
        <f aca="false">F52/5</f>
        <v>0.8</v>
      </c>
      <c r="I52" s="16" t="n">
        <f aca="false">G52/5</f>
        <v>0.4</v>
      </c>
      <c r="J52" s="16" t="n">
        <f aca="false">H52-I52</f>
        <v>0.4</v>
      </c>
      <c r="K52" s="16" t="n">
        <v>1</v>
      </c>
      <c r="L52" s="16" t="n">
        <v>3</v>
      </c>
      <c r="M52" s="16" t="n">
        <f aca="false">K52/5</f>
        <v>0.2</v>
      </c>
      <c r="N52" s="16" t="n">
        <f aca="false">L52/5</f>
        <v>0.6</v>
      </c>
      <c r="O52" s="16" t="n">
        <f aca="false">M52-N52</f>
        <v>-0.4</v>
      </c>
    </row>
    <row r="53" customFormat="false" ht="15" hidden="false" customHeight="false" outlineLevel="0" collapsed="false">
      <c r="A53" s="16" t="n">
        <v>52</v>
      </c>
      <c r="B53" s="16" t="s">
        <v>29</v>
      </c>
      <c r="C53" s="16" t="s">
        <v>40</v>
      </c>
      <c r="D53" s="16" t="s">
        <v>241</v>
      </c>
      <c r="E53" s="16" t="s">
        <v>242</v>
      </c>
      <c r="F53" s="16" t="n">
        <v>7</v>
      </c>
      <c r="G53" s="16" t="n">
        <v>11</v>
      </c>
      <c r="H53" s="16" t="n">
        <f aca="false">F53/5</f>
        <v>1.4</v>
      </c>
      <c r="I53" s="16" t="n">
        <f aca="false">G53/5</f>
        <v>2.2</v>
      </c>
      <c r="J53" s="16" t="n">
        <f aca="false">H53-I53</f>
        <v>-0.8</v>
      </c>
      <c r="K53" s="16" t="n">
        <v>1</v>
      </c>
      <c r="L53" s="16" t="n">
        <v>1</v>
      </c>
      <c r="M53" s="16" t="n">
        <f aca="false">K53/5</f>
        <v>0.2</v>
      </c>
      <c r="N53" s="16" t="n">
        <f aca="false">L53/5</f>
        <v>0.2</v>
      </c>
      <c r="O53" s="16" t="n">
        <f aca="false">M53-N53</f>
        <v>0</v>
      </c>
    </row>
    <row r="54" customFormat="false" ht="15" hidden="false" customHeight="false" outlineLevel="0" collapsed="false">
      <c r="A54" s="16" t="n">
        <v>53</v>
      </c>
      <c r="B54" s="16" t="s">
        <v>26</v>
      </c>
      <c r="C54" s="16" t="s">
        <v>22</v>
      </c>
      <c r="D54" s="16" t="s">
        <v>243</v>
      </c>
      <c r="E54" s="16" t="s">
        <v>244</v>
      </c>
      <c r="F54" s="16" t="n">
        <v>7</v>
      </c>
      <c r="G54" s="16" t="n">
        <v>1</v>
      </c>
      <c r="H54" s="16" t="n">
        <f aca="false">F54/5</f>
        <v>1.4</v>
      </c>
      <c r="I54" s="16" t="n">
        <f aca="false">G54/5</f>
        <v>0.2</v>
      </c>
      <c r="J54" s="16" t="n">
        <f aca="false">H54-I54</f>
        <v>1.2</v>
      </c>
      <c r="K54" s="16" t="n">
        <v>0</v>
      </c>
      <c r="L54" s="16" t="n">
        <v>4</v>
      </c>
      <c r="M54" s="16" t="n">
        <f aca="false">K54/5</f>
        <v>0</v>
      </c>
      <c r="N54" s="16" t="n">
        <f aca="false">L54/5</f>
        <v>0.8</v>
      </c>
      <c r="O54" s="16" t="n">
        <f aca="false">M54-N54</f>
        <v>-0.8</v>
      </c>
    </row>
    <row r="55" customFormat="false" ht="15" hidden="false" customHeight="false" outlineLevel="0" collapsed="false">
      <c r="A55" s="16" t="n">
        <v>54</v>
      </c>
      <c r="B55" s="16" t="s">
        <v>23</v>
      </c>
      <c r="C55" s="16" t="s">
        <v>25</v>
      </c>
      <c r="D55" s="16" t="s">
        <v>245</v>
      </c>
      <c r="E55" s="16" t="s">
        <v>246</v>
      </c>
      <c r="F55" s="16" t="n">
        <v>5</v>
      </c>
      <c r="G55" s="16" t="n">
        <v>3</v>
      </c>
      <c r="H55" s="16" t="n">
        <f aca="false">F55/5</f>
        <v>1</v>
      </c>
      <c r="I55" s="16" t="n">
        <f aca="false">G55/5</f>
        <v>0.6</v>
      </c>
      <c r="J55" s="16" t="n">
        <f aca="false">H55-I55</f>
        <v>0.4</v>
      </c>
      <c r="K55" s="16" t="n">
        <v>2</v>
      </c>
      <c r="L55" s="16" t="n">
        <v>2</v>
      </c>
      <c r="M55" s="16" t="n">
        <f aca="false">K55/5</f>
        <v>0.4</v>
      </c>
      <c r="N55" s="16" t="n">
        <f aca="false">L55/5</f>
        <v>0.4</v>
      </c>
      <c r="O55" s="16" t="n">
        <f aca="false">M55-N55</f>
        <v>0</v>
      </c>
    </row>
    <row r="56" customFormat="false" ht="15" hidden="false" customHeight="false" outlineLevel="0" collapsed="false">
      <c r="A56" s="16" t="n">
        <v>55</v>
      </c>
      <c r="B56" s="16" t="s">
        <v>46</v>
      </c>
      <c r="C56" s="16" t="s">
        <v>43</v>
      </c>
      <c r="D56" s="16" t="s">
        <v>247</v>
      </c>
      <c r="E56" s="16" t="s">
        <v>248</v>
      </c>
      <c r="F56" s="16" t="n">
        <v>16</v>
      </c>
      <c r="G56" s="16" t="n">
        <v>3</v>
      </c>
      <c r="H56" s="16" t="n">
        <f aca="false">F56/5</f>
        <v>3.2</v>
      </c>
      <c r="I56" s="16" t="n">
        <f aca="false">G56/5</f>
        <v>0.6</v>
      </c>
      <c r="J56" s="16" t="n">
        <f aca="false">H56-I56</f>
        <v>2.6</v>
      </c>
      <c r="K56" s="16" t="n">
        <v>2</v>
      </c>
      <c r="L56" s="16" t="n">
        <v>3</v>
      </c>
      <c r="M56" s="16" t="n">
        <f aca="false">K56/5</f>
        <v>0.4</v>
      </c>
      <c r="N56" s="16" t="n">
        <f aca="false">L56/5</f>
        <v>0.6</v>
      </c>
      <c r="O56" s="16" t="n">
        <f aca="false">M56-N56</f>
        <v>-0.2</v>
      </c>
    </row>
    <row r="57" customFormat="false" ht="15" hidden="false" customHeight="false" outlineLevel="0" collapsed="false">
      <c r="A57" s="16" t="n">
        <v>56</v>
      </c>
      <c r="B57" s="16" t="s">
        <v>44</v>
      </c>
      <c r="C57" s="16" t="s">
        <v>45</v>
      </c>
      <c r="D57" s="16" t="s">
        <v>249</v>
      </c>
      <c r="E57" s="16" t="s">
        <v>250</v>
      </c>
      <c r="F57" s="16" t="n">
        <v>3</v>
      </c>
      <c r="G57" s="16" t="n">
        <v>4</v>
      </c>
      <c r="H57" s="16" t="n">
        <f aca="false">F57/5</f>
        <v>0.6</v>
      </c>
      <c r="I57" s="16" t="n">
        <f aca="false">G57/5</f>
        <v>0.8</v>
      </c>
      <c r="J57" s="16" t="n">
        <f aca="false">H57-I57</f>
        <v>-0.2</v>
      </c>
      <c r="K57" s="16" t="n">
        <v>2</v>
      </c>
      <c r="L57" s="16" t="n">
        <v>1</v>
      </c>
      <c r="M57" s="16" t="n">
        <f aca="false">K57/5</f>
        <v>0.4</v>
      </c>
      <c r="N57" s="16" t="n">
        <f aca="false">L57/5</f>
        <v>0.2</v>
      </c>
      <c r="O57" s="16" t="n">
        <f aca="false">M57-N57</f>
        <v>0.2</v>
      </c>
    </row>
    <row r="58" customFormat="false" ht="15" hidden="false" customHeight="false" outlineLevel="0" collapsed="false">
      <c r="A58" s="16" t="n">
        <v>57</v>
      </c>
      <c r="B58" s="16" t="s">
        <v>49</v>
      </c>
      <c r="C58" s="16" t="s">
        <v>50</v>
      </c>
      <c r="D58" s="16" t="s">
        <v>251</v>
      </c>
      <c r="E58" s="16" t="s">
        <v>252</v>
      </c>
      <c r="F58" s="16" t="n">
        <v>2</v>
      </c>
      <c r="G58" s="16" t="n">
        <v>13</v>
      </c>
      <c r="H58" s="16" t="n">
        <f aca="false">F58/5</f>
        <v>0.4</v>
      </c>
      <c r="I58" s="16" t="n">
        <f aca="false">G58/5</f>
        <v>2.6</v>
      </c>
      <c r="J58" s="16" t="n">
        <f aca="false">H58-I58</f>
        <v>-2.2</v>
      </c>
      <c r="K58" s="16" t="n">
        <v>4</v>
      </c>
      <c r="L58" s="16" t="n">
        <v>0</v>
      </c>
      <c r="M58" s="16" t="n">
        <f aca="false">K58/5</f>
        <v>0.8</v>
      </c>
      <c r="N58" s="16" t="n">
        <f aca="false">L58/5</f>
        <v>0</v>
      </c>
      <c r="O58" s="16" t="n">
        <f aca="false">M58-N58</f>
        <v>0.8</v>
      </c>
    </row>
    <row r="59" customFormat="false" ht="15" hidden="false" customHeight="false" outlineLevel="0" collapsed="false">
      <c r="A59" s="16" t="n">
        <v>58</v>
      </c>
      <c r="B59" s="16" t="s">
        <v>51</v>
      </c>
      <c r="C59" s="16" t="s">
        <v>48</v>
      </c>
      <c r="D59" s="16" t="s">
        <v>253</v>
      </c>
      <c r="E59" s="16" t="s">
        <v>254</v>
      </c>
      <c r="F59" s="16" t="n">
        <v>15</v>
      </c>
      <c r="G59" s="16" t="n">
        <v>6</v>
      </c>
      <c r="H59" s="16" t="n">
        <f aca="false">F59/5</f>
        <v>3</v>
      </c>
      <c r="I59" s="16" t="n">
        <f aca="false">G59/5</f>
        <v>1.2</v>
      </c>
      <c r="J59" s="16" t="n">
        <f aca="false">H59-I59</f>
        <v>1.8</v>
      </c>
      <c r="K59" s="16" t="n">
        <v>1</v>
      </c>
      <c r="L59" s="16" t="n">
        <v>0</v>
      </c>
      <c r="M59" s="16" t="n">
        <f aca="false">K59/5</f>
        <v>0.2</v>
      </c>
      <c r="N59" s="16" t="n">
        <f aca="false">L59/5</f>
        <v>0</v>
      </c>
      <c r="O59" s="16" t="n">
        <f aca="false">M59-N59</f>
        <v>0.2</v>
      </c>
    </row>
    <row r="60" customFormat="false" ht="15" hidden="false" customHeight="false" outlineLevel="0" collapsed="false">
      <c r="A60" s="16" t="n">
        <v>59</v>
      </c>
      <c r="B60" s="16" t="s">
        <v>37</v>
      </c>
      <c r="C60" s="16" t="s">
        <v>31</v>
      </c>
      <c r="D60" s="16" t="s">
        <v>255</v>
      </c>
      <c r="E60" s="16" t="s">
        <v>256</v>
      </c>
      <c r="F60" s="16" t="n">
        <v>4</v>
      </c>
      <c r="G60" s="16" t="n">
        <v>7</v>
      </c>
      <c r="H60" s="16" t="n">
        <f aca="false">F60/5</f>
        <v>0.8</v>
      </c>
      <c r="I60" s="16" t="n">
        <f aca="false">G60/5</f>
        <v>1.4</v>
      </c>
      <c r="J60" s="16" t="n">
        <f aca="false">H60-I60</f>
        <v>-0.6</v>
      </c>
      <c r="K60" s="16" t="n">
        <v>2</v>
      </c>
      <c r="L60" s="16" t="n">
        <v>1</v>
      </c>
      <c r="M60" s="16" t="n">
        <f aca="false">K60/5</f>
        <v>0.4</v>
      </c>
      <c r="N60" s="16" t="n">
        <f aca="false">L60/5</f>
        <v>0.2</v>
      </c>
      <c r="O60" s="16" t="n">
        <f aca="false">M60-N60</f>
        <v>0.2</v>
      </c>
    </row>
    <row r="61" customFormat="false" ht="15" hidden="false" customHeight="false" outlineLevel="0" collapsed="false">
      <c r="A61" s="16" t="n">
        <v>60</v>
      </c>
      <c r="B61" s="16" t="s">
        <v>32</v>
      </c>
      <c r="C61" s="16" t="s">
        <v>36</v>
      </c>
      <c r="D61" s="16" t="s">
        <v>257</v>
      </c>
      <c r="E61" s="16" t="s">
        <v>258</v>
      </c>
      <c r="F61" s="16" t="n">
        <v>6</v>
      </c>
      <c r="G61" s="16" t="n">
        <v>5</v>
      </c>
      <c r="H61" s="16" t="n">
        <f aca="false">F61/5</f>
        <v>1.2</v>
      </c>
      <c r="I61" s="16" t="n">
        <f aca="false">G61/5</f>
        <v>1</v>
      </c>
      <c r="J61" s="16" t="n">
        <f aca="false">H61-I61</f>
        <v>0.2</v>
      </c>
      <c r="K61" s="16" t="n">
        <v>3</v>
      </c>
      <c r="L61" s="16" t="n">
        <v>1</v>
      </c>
      <c r="M61" s="16" t="n">
        <f aca="false">K61/5</f>
        <v>0.6</v>
      </c>
      <c r="N61" s="16" t="n">
        <f aca="false">L61/5</f>
        <v>0.2</v>
      </c>
      <c r="O61" s="16" t="n">
        <f aca="false">M61-N61</f>
        <v>0.4</v>
      </c>
    </row>
    <row r="62" customFormat="false" ht="15" hidden="false" customHeight="false" outlineLevel="0" collapsed="false">
      <c r="A62" s="16" t="n">
        <v>61</v>
      </c>
      <c r="B62" s="16" t="s">
        <v>66</v>
      </c>
      <c r="C62" s="16" t="s">
        <v>63</v>
      </c>
      <c r="D62" s="16" t="s">
        <v>259</v>
      </c>
      <c r="E62" s="16" t="s">
        <v>260</v>
      </c>
      <c r="F62" s="16" t="n">
        <v>5</v>
      </c>
      <c r="G62" s="16" t="n">
        <v>5</v>
      </c>
      <c r="H62" s="16" t="n">
        <f aca="false">F62/5</f>
        <v>1</v>
      </c>
      <c r="I62" s="16" t="n">
        <f aca="false">G62/5</f>
        <v>1</v>
      </c>
      <c r="J62" s="16" t="n">
        <f aca="false">H62-I62</f>
        <v>0</v>
      </c>
      <c r="K62" s="16" t="n">
        <v>1</v>
      </c>
      <c r="L62" s="16" t="n">
        <v>1</v>
      </c>
      <c r="M62" s="16" t="n">
        <f aca="false">K62/5</f>
        <v>0.2</v>
      </c>
      <c r="N62" s="16" t="n">
        <f aca="false">L62/5</f>
        <v>0.2</v>
      </c>
      <c r="O62" s="16" t="n">
        <f aca="false">M62-N62</f>
        <v>0</v>
      </c>
    </row>
    <row r="63" customFormat="false" ht="15" hidden="false" customHeight="false" outlineLevel="0" collapsed="false">
      <c r="A63" s="16" t="n">
        <v>62</v>
      </c>
      <c r="B63" s="16" t="s">
        <v>64</v>
      </c>
      <c r="C63" s="16" t="s">
        <v>65</v>
      </c>
      <c r="D63" s="16" t="s">
        <v>261</v>
      </c>
      <c r="E63" s="16" t="s">
        <v>262</v>
      </c>
      <c r="F63" s="16" t="n">
        <v>10</v>
      </c>
      <c r="G63" s="16" t="n">
        <v>10</v>
      </c>
      <c r="H63" s="16" t="n">
        <f aca="false">F63/5</f>
        <v>2</v>
      </c>
      <c r="I63" s="16" t="n">
        <f aca="false">G63/5</f>
        <v>2</v>
      </c>
      <c r="J63" s="16" t="n">
        <f aca="false">H63-I63</f>
        <v>0</v>
      </c>
      <c r="K63" s="16" t="n">
        <v>1</v>
      </c>
      <c r="L63" s="16" t="n">
        <v>1</v>
      </c>
      <c r="M63" s="16" t="n">
        <f aca="false">K63/5</f>
        <v>0.2</v>
      </c>
      <c r="N63" s="16" t="n">
        <f aca="false">L63/5</f>
        <v>0.2</v>
      </c>
      <c r="O63" s="16" t="n">
        <f aca="false">M63-N63</f>
        <v>0</v>
      </c>
    </row>
    <row r="64" customFormat="false" ht="15" hidden="false" customHeight="false" outlineLevel="0" collapsed="false">
      <c r="A64" s="16" t="n">
        <v>63</v>
      </c>
      <c r="B64" s="16" t="s">
        <v>61</v>
      </c>
      <c r="C64" s="16" t="s">
        <v>58</v>
      </c>
      <c r="D64" s="16" t="s">
        <v>263</v>
      </c>
      <c r="E64" s="16" t="s">
        <v>264</v>
      </c>
      <c r="F64" s="16" t="n">
        <v>4</v>
      </c>
      <c r="G64" s="16" t="n">
        <v>3</v>
      </c>
      <c r="H64" s="16" t="n">
        <f aca="false">F64/5</f>
        <v>0.8</v>
      </c>
      <c r="I64" s="16" t="n">
        <f aca="false">G64/5</f>
        <v>0.6</v>
      </c>
      <c r="J64" s="16" t="n">
        <f aca="false">H64-I64</f>
        <v>0.2</v>
      </c>
      <c r="K64" s="16" t="n">
        <v>2</v>
      </c>
      <c r="L64" s="16" t="n">
        <v>3</v>
      </c>
      <c r="M64" s="16" t="n">
        <f aca="false">K64/5</f>
        <v>0.4</v>
      </c>
      <c r="N64" s="16" t="n">
        <f aca="false">L64/5</f>
        <v>0.6</v>
      </c>
      <c r="O64" s="16" t="n">
        <f aca="false">M64-N64</f>
        <v>-0.2</v>
      </c>
    </row>
    <row r="65" customFormat="false" ht="15" hidden="false" customHeight="false" outlineLevel="0" collapsed="false">
      <c r="A65" s="16" t="n">
        <v>64</v>
      </c>
      <c r="B65" s="16" t="s">
        <v>59</v>
      </c>
      <c r="C65" s="16" t="s">
        <v>60</v>
      </c>
      <c r="D65" s="16" t="s">
        <v>265</v>
      </c>
      <c r="E65" s="16" t="s">
        <v>266</v>
      </c>
      <c r="F65" s="16" t="n">
        <v>11</v>
      </c>
      <c r="G65" s="16" t="n">
        <v>2</v>
      </c>
      <c r="H65" s="16" t="n">
        <f aca="false">F65/5</f>
        <v>2.2</v>
      </c>
      <c r="I65" s="16" t="n">
        <f aca="false">G65/5</f>
        <v>0.4</v>
      </c>
      <c r="J65" s="16" t="n">
        <f aca="false">H65-I65</f>
        <v>1.8</v>
      </c>
      <c r="K65" s="16" t="n">
        <v>0</v>
      </c>
      <c r="L65" s="16" t="n">
        <v>3</v>
      </c>
      <c r="M65" s="16" t="n">
        <f aca="false">K65/5</f>
        <v>0</v>
      </c>
      <c r="N65" s="16" t="n">
        <f aca="false">L65/5</f>
        <v>0.6</v>
      </c>
      <c r="O65" s="16" t="n">
        <f aca="false">M65-N65</f>
        <v>-0.6</v>
      </c>
    </row>
    <row r="66" customFormat="false" ht="15" hidden="false" customHeight="false" outlineLevel="0" collapsed="false">
      <c r="A66" s="16" t="n">
        <v>65</v>
      </c>
      <c r="B66" s="16" t="s">
        <v>56</v>
      </c>
      <c r="C66" s="16" t="s">
        <v>53</v>
      </c>
      <c r="D66" s="16" t="s">
        <v>267</v>
      </c>
      <c r="E66" s="16" t="s">
        <v>268</v>
      </c>
      <c r="F66" s="16" t="n">
        <v>6</v>
      </c>
      <c r="G66" s="16" t="n">
        <v>7</v>
      </c>
      <c r="H66" s="16" t="n">
        <f aca="false">F66/5</f>
        <v>1.2</v>
      </c>
      <c r="I66" s="16" t="n">
        <f aca="false">G66/5</f>
        <v>1.4</v>
      </c>
      <c r="J66" s="16" t="n">
        <f aca="false">H66-I66</f>
        <v>-0.2</v>
      </c>
      <c r="K66" s="16" t="n">
        <v>2</v>
      </c>
      <c r="L66" s="16" t="n">
        <v>2</v>
      </c>
      <c r="M66" s="16" t="n">
        <f aca="false">K66/5</f>
        <v>0.4</v>
      </c>
      <c r="N66" s="16" t="n">
        <f aca="false">L66/5</f>
        <v>0.4</v>
      </c>
      <c r="O66" s="16" t="n">
        <f aca="false">M66-N66</f>
        <v>0</v>
      </c>
    </row>
    <row r="67" customFormat="false" ht="15" hidden="false" customHeight="false" outlineLevel="0" collapsed="false">
      <c r="A67" s="16" t="n">
        <v>66</v>
      </c>
      <c r="B67" s="16" t="s">
        <v>54</v>
      </c>
      <c r="C67" s="16" t="s">
        <v>55</v>
      </c>
      <c r="D67" s="16" t="s">
        <v>269</v>
      </c>
      <c r="E67" s="16" t="s">
        <v>270</v>
      </c>
      <c r="F67" s="16" t="n">
        <v>9</v>
      </c>
      <c r="G67" s="16" t="n">
        <v>2</v>
      </c>
      <c r="H67" s="16" t="n">
        <f aca="false">F67/5</f>
        <v>1.8</v>
      </c>
      <c r="I67" s="16" t="n">
        <f aca="false">G67/5</f>
        <v>0.4</v>
      </c>
      <c r="J67" s="16" t="n">
        <f aca="false">H67-I67</f>
        <v>1.4</v>
      </c>
      <c r="K67" s="16" t="n">
        <v>1</v>
      </c>
      <c r="L67" s="16" t="n">
        <v>3</v>
      </c>
      <c r="M67" s="16" t="n">
        <f aca="false">K67/5</f>
        <v>0.2</v>
      </c>
      <c r="N67" s="16" t="n">
        <f aca="false">L67/5</f>
        <v>0.6</v>
      </c>
      <c r="O67" s="16" t="n">
        <f aca="false">M67-N67</f>
        <v>-0.4</v>
      </c>
    </row>
    <row r="68" customFormat="false" ht="15" hidden="false" customHeight="false" outlineLevel="0" collapsed="false">
      <c r="A68" s="16" t="n">
        <v>67</v>
      </c>
      <c r="B68" s="16" t="s">
        <v>74</v>
      </c>
      <c r="C68" s="16" t="s">
        <v>75</v>
      </c>
      <c r="D68" s="16" t="s">
        <v>271</v>
      </c>
      <c r="E68" s="16" t="s">
        <v>272</v>
      </c>
      <c r="F68" s="16" t="n">
        <v>11</v>
      </c>
      <c r="G68" s="16" t="n">
        <v>3</v>
      </c>
      <c r="H68" s="16" t="n">
        <f aca="false">F68/5</f>
        <v>2.2</v>
      </c>
      <c r="I68" s="16" t="n">
        <f aca="false">G68/5</f>
        <v>0.6</v>
      </c>
      <c r="J68" s="16" t="n">
        <f aca="false">H68-I68</f>
        <v>1.6</v>
      </c>
      <c r="K68" s="16" t="n">
        <v>0</v>
      </c>
      <c r="L68" s="16" t="n">
        <v>3</v>
      </c>
      <c r="M68" s="16" t="n">
        <f aca="false">K68/5</f>
        <v>0</v>
      </c>
      <c r="N68" s="16" t="n">
        <f aca="false">L68/5</f>
        <v>0.6</v>
      </c>
      <c r="O68" s="16" t="n">
        <f aca="false">M68-N68</f>
        <v>-0.6</v>
      </c>
    </row>
    <row r="69" customFormat="false" ht="15" hidden="false" customHeight="false" outlineLevel="0" collapsed="false">
      <c r="A69" s="16" t="n">
        <v>68</v>
      </c>
      <c r="B69" s="16" t="s">
        <v>76</v>
      </c>
      <c r="C69" s="16" t="s">
        <v>73</v>
      </c>
      <c r="D69" s="16" t="s">
        <v>273</v>
      </c>
      <c r="E69" s="16" t="s">
        <v>274</v>
      </c>
      <c r="F69" s="16" t="n">
        <v>10</v>
      </c>
      <c r="G69" s="16" t="n">
        <v>5</v>
      </c>
      <c r="H69" s="16" t="n">
        <f aca="false">F69/5</f>
        <v>2</v>
      </c>
      <c r="I69" s="16" t="n">
        <f aca="false">G69/5</f>
        <v>1</v>
      </c>
      <c r="J69" s="16" t="n">
        <f aca="false">H69-I69</f>
        <v>1</v>
      </c>
      <c r="K69" s="16" t="n">
        <v>1</v>
      </c>
      <c r="L69" s="16" t="n">
        <v>2</v>
      </c>
      <c r="M69" s="16" t="n">
        <f aca="false">K69/5</f>
        <v>0.2</v>
      </c>
      <c r="N69" s="16" t="n">
        <f aca="false">L69/5</f>
        <v>0.4</v>
      </c>
      <c r="O69" s="16" t="n">
        <f aca="false">M69-N69</f>
        <v>-0.2</v>
      </c>
    </row>
    <row r="70" customFormat="false" ht="15" hidden="false" customHeight="false" outlineLevel="0" collapsed="false">
      <c r="A70" s="16" t="n">
        <v>69</v>
      </c>
      <c r="B70" s="16" t="s">
        <v>69</v>
      </c>
      <c r="C70" s="16" t="s">
        <v>70</v>
      </c>
      <c r="D70" s="16" t="s">
        <v>275</v>
      </c>
      <c r="E70" s="16" t="s">
        <v>276</v>
      </c>
      <c r="F70" s="16" t="n">
        <v>4</v>
      </c>
      <c r="G70" s="16" t="n">
        <v>4</v>
      </c>
      <c r="H70" s="16" t="n">
        <f aca="false">F70/5</f>
        <v>0.8</v>
      </c>
      <c r="I70" s="16" t="n">
        <f aca="false">G70/5</f>
        <v>0.8</v>
      </c>
      <c r="J70" s="16" t="n">
        <f aca="false">H70-I70</f>
        <v>0</v>
      </c>
      <c r="K70" s="16" t="n">
        <v>3</v>
      </c>
      <c r="L70" s="16" t="n">
        <v>2</v>
      </c>
      <c r="M70" s="16" t="n">
        <f aca="false">K70/5</f>
        <v>0.6</v>
      </c>
      <c r="N70" s="16" t="n">
        <f aca="false">L70/5</f>
        <v>0.4</v>
      </c>
      <c r="O70" s="16" t="n">
        <f aca="false">M70-N70</f>
        <v>0.2</v>
      </c>
    </row>
    <row r="71" customFormat="false" ht="15" hidden="false" customHeight="false" outlineLevel="0" collapsed="false">
      <c r="A71" s="16" t="n">
        <v>70</v>
      </c>
      <c r="B71" s="16" t="s">
        <v>71</v>
      </c>
      <c r="C71" s="16" t="s">
        <v>68</v>
      </c>
      <c r="D71" s="16" t="s">
        <v>277</v>
      </c>
      <c r="E71" s="16" t="s">
        <v>278</v>
      </c>
      <c r="F71" s="16" t="n">
        <v>13</v>
      </c>
      <c r="G71" s="16" t="n">
        <v>0</v>
      </c>
      <c r="H71" s="16" t="n">
        <f aca="false">F71/5</f>
        <v>2.6</v>
      </c>
      <c r="I71" s="16" t="n">
        <f aca="false">G71/5</f>
        <v>0</v>
      </c>
      <c r="J71" s="16" t="n">
        <f aca="false">H71-I71</f>
        <v>2.6</v>
      </c>
      <c r="K71" s="16" t="n">
        <v>0</v>
      </c>
      <c r="L71" s="16" t="n">
        <v>5</v>
      </c>
      <c r="M71" s="16" t="n">
        <f aca="false">K71/5</f>
        <v>0</v>
      </c>
      <c r="N71" s="16" t="n">
        <f aca="false">L71/5</f>
        <v>1</v>
      </c>
      <c r="O71" s="16" t="n">
        <f aca="false">M71-N71</f>
        <v>-1</v>
      </c>
    </row>
    <row r="72" customFormat="false" ht="15" hidden="false" customHeight="false" outlineLevel="0" collapsed="false">
      <c r="A72" s="16" t="n">
        <v>71</v>
      </c>
      <c r="B72" s="16" t="s">
        <v>81</v>
      </c>
      <c r="C72" s="16" t="s">
        <v>78</v>
      </c>
      <c r="D72" s="16" t="s">
        <v>279</v>
      </c>
      <c r="E72" s="16" t="s">
        <v>280</v>
      </c>
      <c r="F72" s="16" t="n">
        <v>5</v>
      </c>
      <c r="G72" s="16" t="n">
        <v>3</v>
      </c>
      <c r="H72" s="16" t="n">
        <f aca="false">F72/5</f>
        <v>1</v>
      </c>
      <c r="I72" s="16" t="n">
        <f aca="false">G72/5</f>
        <v>0.6</v>
      </c>
      <c r="J72" s="16" t="n">
        <f aca="false">H72-I72</f>
        <v>0.4</v>
      </c>
      <c r="K72" s="16" t="n">
        <v>2</v>
      </c>
      <c r="L72" s="16" t="n">
        <v>2</v>
      </c>
      <c r="M72" s="16" t="n">
        <f aca="false">K72/5</f>
        <v>0.4</v>
      </c>
      <c r="N72" s="16" t="n">
        <f aca="false">L72/5</f>
        <v>0.4</v>
      </c>
      <c r="O72" s="16" t="n">
        <f aca="false">M72-N72</f>
        <v>0</v>
      </c>
    </row>
    <row r="73" customFormat="false" ht="15" hidden="false" customHeight="false" outlineLevel="0" collapsed="false">
      <c r="A73" s="16" t="n">
        <v>72</v>
      </c>
      <c r="B73" s="16" t="s">
        <v>79</v>
      </c>
      <c r="C73" s="16" t="s">
        <v>80</v>
      </c>
      <c r="D73" s="16" t="s">
        <v>281</v>
      </c>
      <c r="E73" s="16" t="s">
        <v>282</v>
      </c>
      <c r="F73" s="16" t="n">
        <v>4</v>
      </c>
      <c r="G73" s="16" t="n">
        <v>12</v>
      </c>
      <c r="H73" s="16" t="n">
        <f aca="false">F73/5</f>
        <v>0.8</v>
      </c>
      <c r="I73" s="16" t="n">
        <f aca="false">G73/5</f>
        <v>2.4</v>
      </c>
      <c r="J73" s="16" t="n">
        <f aca="false">H73-I73</f>
        <v>-1.6</v>
      </c>
      <c r="K73" s="16" t="n">
        <v>2</v>
      </c>
      <c r="L73" s="16" t="n">
        <v>1</v>
      </c>
      <c r="M73" s="16" t="n">
        <f aca="false">K73/5</f>
        <v>0.4</v>
      </c>
      <c r="N73" s="16" t="n">
        <f aca="false">L73/5</f>
        <v>0.2</v>
      </c>
      <c r="O73" s="16" t="n">
        <f aca="false">M73-N73</f>
        <v>0.2</v>
      </c>
    </row>
    <row r="74" customFormat="false" ht="15" hidden="false" customHeight="false" outlineLevel="0" collapsed="false">
      <c r="A74" s="16" t="n">
        <v>73</v>
      </c>
      <c r="B74" s="16" t="s">
        <v>23</v>
      </c>
      <c r="C74" s="16" t="s">
        <v>28</v>
      </c>
      <c r="D74" s="16" t="s">
        <v>283</v>
      </c>
      <c r="E74" s="16" t="s">
        <v>284</v>
      </c>
      <c r="F74" s="16" t="n">
        <v>3</v>
      </c>
      <c r="G74" s="16" t="n">
        <v>4</v>
      </c>
      <c r="H74" s="16" t="n">
        <f aca="false">F74/5</f>
        <v>0.6</v>
      </c>
      <c r="I74" s="16" t="n">
        <f aca="false">G74/5</f>
        <v>0.8</v>
      </c>
      <c r="J74" s="16" t="n">
        <f aca="false">H74-I74</f>
        <v>-0.2</v>
      </c>
      <c r="K74" s="16" t="n">
        <v>3</v>
      </c>
      <c r="L74" s="16" t="n">
        <v>2</v>
      </c>
      <c r="M74" s="16" t="n">
        <f aca="false">K74/5</f>
        <v>0.6</v>
      </c>
      <c r="N74" s="16" t="n">
        <f aca="false">L74/5</f>
        <v>0.4</v>
      </c>
      <c r="O74" s="16" t="n">
        <f aca="false">M74-N74</f>
        <v>0.2</v>
      </c>
    </row>
    <row r="75" customFormat="false" ht="15" hidden="false" customHeight="false" outlineLevel="0" collapsed="false">
      <c r="A75" s="16" t="n">
        <v>74</v>
      </c>
      <c r="B75" s="16" t="s">
        <v>45</v>
      </c>
      <c r="C75" s="16" t="s">
        <v>32</v>
      </c>
      <c r="D75" s="16" t="s">
        <v>285</v>
      </c>
      <c r="E75" s="16" t="s">
        <v>286</v>
      </c>
      <c r="F75" s="16" t="n">
        <v>5</v>
      </c>
      <c r="G75" s="16" t="n">
        <v>6</v>
      </c>
      <c r="H75" s="16" t="n">
        <f aca="false">F75/5</f>
        <v>1</v>
      </c>
      <c r="I75" s="16" t="n">
        <f aca="false">G75/5</f>
        <v>1.2</v>
      </c>
      <c r="J75" s="16" t="n">
        <f aca="false">H75-I75</f>
        <v>-0.2</v>
      </c>
      <c r="K75" s="16" t="n">
        <v>1</v>
      </c>
      <c r="L75" s="16" t="n">
        <v>3</v>
      </c>
      <c r="M75" s="16" t="n">
        <f aca="false">K75/5</f>
        <v>0.2</v>
      </c>
      <c r="N75" s="16" t="n">
        <f aca="false">L75/5</f>
        <v>0.6</v>
      </c>
      <c r="O75" s="16" t="n">
        <f aca="false">M75-N75</f>
        <v>-0.4</v>
      </c>
    </row>
    <row r="76" customFormat="false" ht="15" hidden="false" customHeight="false" outlineLevel="0" collapsed="false">
      <c r="A76" s="16" t="n">
        <v>75</v>
      </c>
      <c r="B76" s="16" t="s">
        <v>48</v>
      </c>
      <c r="C76" s="16" t="s">
        <v>39</v>
      </c>
      <c r="D76" s="16" t="s">
        <v>287</v>
      </c>
      <c r="E76" s="16" t="s">
        <v>288</v>
      </c>
      <c r="F76" s="16" t="n">
        <v>6</v>
      </c>
      <c r="G76" s="16" t="n">
        <v>4</v>
      </c>
      <c r="H76" s="16" t="n">
        <f aca="false">F76/5</f>
        <v>1.2</v>
      </c>
      <c r="I76" s="16" t="n">
        <f aca="false">G76/5</f>
        <v>0.8</v>
      </c>
      <c r="J76" s="16" t="n">
        <f aca="false">H76-I76</f>
        <v>0.4</v>
      </c>
      <c r="K76" s="16" t="n">
        <v>0</v>
      </c>
      <c r="L76" s="16" t="n">
        <v>2</v>
      </c>
      <c r="M76" s="16" t="n">
        <f aca="false">K76/5</f>
        <v>0</v>
      </c>
      <c r="N76" s="16" t="n">
        <f aca="false">L76/5</f>
        <v>0.4</v>
      </c>
      <c r="O76" s="16" t="n">
        <f aca="false">M76-N76</f>
        <v>-0.4</v>
      </c>
    </row>
    <row r="77" customFormat="false" ht="15" hidden="false" customHeight="false" outlineLevel="0" collapsed="false">
      <c r="A77" s="16" t="n">
        <v>76</v>
      </c>
      <c r="B77" s="16" t="s">
        <v>38</v>
      </c>
      <c r="C77" s="16" t="s">
        <v>49</v>
      </c>
      <c r="D77" s="16" t="s">
        <v>289</v>
      </c>
      <c r="E77" s="16" t="s">
        <v>290</v>
      </c>
      <c r="F77" s="16" t="n">
        <v>4</v>
      </c>
      <c r="G77" s="16" t="n">
        <v>3</v>
      </c>
      <c r="H77" s="16" t="n">
        <f aca="false">F77/5</f>
        <v>0.8</v>
      </c>
      <c r="I77" s="16" t="n">
        <f aca="false">G77/5</f>
        <v>0.6</v>
      </c>
      <c r="J77" s="16" t="n">
        <f aca="false">H77-I77</f>
        <v>0.2</v>
      </c>
      <c r="K77" s="16" t="n">
        <v>2</v>
      </c>
      <c r="L77" s="16" t="n">
        <v>3</v>
      </c>
      <c r="M77" s="16" t="n">
        <f aca="false">K77/5</f>
        <v>0.4</v>
      </c>
      <c r="N77" s="16" t="n">
        <f aca="false">L77/5</f>
        <v>0.6</v>
      </c>
      <c r="O77" s="16" t="n">
        <f aca="false">M77-N77</f>
        <v>-0.2</v>
      </c>
    </row>
    <row r="78" customFormat="false" ht="15" hidden="false" customHeight="false" outlineLevel="0" collapsed="false">
      <c r="A78" s="16" t="n">
        <v>77</v>
      </c>
      <c r="B78" s="16" t="s">
        <v>63</v>
      </c>
      <c r="C78" s="16" t="s">
        <v>50</v>
      </c>
      <c r="D78" s="16" t="s">
        <v>291</v>
      </c>
      <c r="E78" s="16" t="s">
        <v>292</v>
      </c>
      <c r="F78" s="16" t="n">
        <v>5</v>
      </c>
      <c r="G78" s="16" t="n">
        <v>12</v>
      </c>
      <c r="H78" s="16" t="n">
        <f aca="false">F78/5</f>
        <v>1</v>
      </c>
      <c r="I78" s="16" t="n">
        <f aca="false">G78/5</f>
        <v>2.4</v>
      </c>
      <c r="J78" s="16" t="n">
        <f aca="false">H78-I78</f>
        <v>-1.4</v>
      </c>
      <c r="K78" s="16" t="n">
        <v>1</v>
      </c>
      <c r="L78" s="16" t="n">
        <v>0</v>
      </c>
      <c r="M78" s="16" t="n">
        <f aca="false">K78/5</f>
        <v>0.2</v>
      </c>
      <c r="N78" s="16" t="n">
        <f aca="false">L78/5</f>
        <v>0</v>
      </c>
      <c r="O78" s="16" t="n">
        <f aca="false">M78-N78</f>
        <v>0.2</v>
      </c>
    </row>
    <row r="79" customFormat="false" ht="15" hidden="false" customHeight="false" outlineLevel="0" collapsed="false">
      <c r="A79" s="16" t="n">
        <v>78</v>
      </c>
      <c r="B79" s="16" t="s">
        <v>43</v>
      </c>
      <c r="C79" s="16" t="s">
        <v>66</v>
      </c>
      <c r="D79" s="16" t="s">
        <v>293</v>
      </c>
      <c r="E79" s="16" t="s">
        <v>294</v>
      </c>
      <c r="F79" s="16" t="n">
        <v>3</v>
      </c>
      <c r="G79" s="16" t="n">
        <v>9</v>
      </c>
      <c r="H79" s="16" t="n">
        <f aca="false">F79/5</f>
        <v>0.6</v>
      </c>
      <c r="I79" s="16" t="n">
        <f aca="false">G79/5</f>
        <v>1.8</v>
      </c>
      <c r="J79" s="16" t="n">
        <f aca="false">H79-I79</f>
        <v>-1.2</v>
      </c>
      <c r="K79" s="16" t="n">
        <v>3</v>
      </c>
      <c r="L79" s="16" t="n">
        <v>0</v>
      </c>
      <c r="M79" s="16" t="n">
        <f aca="false">K79/5</f>
        <v>0.6</v>
      </c>
      <c r="N79" s="16" t="n">
        <f aca="false">L79/5</f>
        <v>0</v>
      </c>
      <c r="O79" s="16" t="n">
        <f aca="false">M79-N79</f>
        <v>0.6</v>
      </c>
    </row>
    <row r="80" customFormat="false" ht="15" hidden="false" customHeight="false" outlineLevel="0" collapsed="false">
      <c r="A80" s="16" t="n">
        <v>79</v>
      </c>
      <c r="B80" s="16" t="s">
        <v>22</v>
      </c>
      <c r="C80" s="16" t="s">
        <v>44</v>
      </c>
      <c r="D80" s="16" t="s">
        <v>295</v>
      </c>
      <c r="E80" s="16" t="s">
        <v>296</v>
      </c>
      <c r="F80" s="16" t="n">
        <v>1</v>
      </c>
      <c r="G80" s="16" t="n">
        <v>3</v>
      </c>
      <c r="H80" s="16" t="n">
        <f aca="false">F80/5</f>
        <v>0.2</v>
      </c>
      <c r="I80" s="16" t="n">
        <f aca="false">G80/5</f>
        <v>0.6</v>
      </c>
      <c r="J80" s="16" t="n">
        <f aca="false">H80-I80</f>
        <v>-0.4</v>
      </c>
      <c r="K80" s="16" t="n">
        <v>4</v>
      </c>
      <c r="L80" s="16" t="n">
        <v>2</v>
      </c>
      <c r="M80" s="16" t="n">
        <f aca="false">K80/5</f>
        <v>0.8</v>
      </c>
      <c r="N80" s="16" t="n">
        <f aca="false">L80/5</f>
        <v>0.4</v>
      </c>
      <c r="O80" s="16" t="n">
        <f aca="false">M80-N80</f>
        <v>0.4</v>
      </c>
    </row>
    <row r="81" customFormat="false" ht="15" hidden="false" customHeight="false" outlineLevel="0" collapsed="false">
      <c r="A81" s="16" t="n">
        <v>80</v>
      </c>
      <c r="B81" s="16" t="s">
        <v>75</v>
      </c>
      <c r="C81" s="16" t="s">
        <v>79</v>
      </c>
      <c r="D81" s="16" t="s">
        <v>297</v>
      </c>
      <c r="E81" s="16" t="s">
        <v>298</v>
      </c>
      <c r="F81" s="16" t="n">
        <v>2</v>
      </c>
      <c r="G81" s="16" t="n">
        <v>5</v>
      </c>
      <c r="H81" s="16" t="n">
        <f aca="false">F81/5</f>
        <v>0.4</v>
      </c>
      <c r="I81" s="16" t="n">
        <f aca="false">G81/5</f>
        <v>1</v>
      </c>
      <c r="J81" s="16" t="n">
        <f aca="false">H81-I81</f>
        <v>-0.6</v>
      </c>
      <c r="K81" s="16" t="n">
        <v>4</v>
      </c>
      <c r="L81" s="16" t="n">
        <v>1</v>
      </c>
      <c r="M81" s="16" t="n">
        <f aca="false">K81/5</f>
        <v>0.8</v>
      </c>
      <c r="N81" s="16" t="n">
        <f aca="false">L81/5</f>
        <v>0.2</v>
      </c>
      <c r="O81" s="16" t="n">
        <f aca="false">M81-N81</f>
        <v>0.6</v>
      </c>
    </row>
    <row r="82" customFormat="false" ht="15" hidden="false" customHeight="false" outlineLevel="0" collapsed="false">
      <c r="A82" s="16" t="n">
        <v>81</v>
      </c>
      <c r="B82" s="16" t="s">
        <v>31</v>
      </c>
      <c r="C82" s="16" t="s">
        <v>29</v>
      </c>
      <c r="D82" s="16" t="s">
        <v>299</v>
      </c>
      <c r="E82" s="16" t="s">
        <v>300</v>
      </c>
      <c r="F82" s="16" t="n">
        <v>8</v>
      </c>
      <c r="G82" s="16" t="n">
        <v>7</v>
      </c>
      <c r="H82" s="16" t="n">
        <f aca="false">F82/5</f>
        <v>1.6</v>
      </c>
      <c r="I82" s="16" t="n">
        <f aca="false">G82/5</f>
        <v>1.4</v>
      </c>
      <c r="J82" s="16" t="n">
        <f aca="false">H82-I82</f>
        <v>0.2</v>
      </c>
      <c r="K82" s="16" t="n">
        <v>1</v>
      </c>
      <c r="L82" s="16" t="n">
        <v>1</v>
      </c>
      <c r="M82" s="16" t="n">
        <f aca="false">K82/5</f>
        <v>0.2</v>
      </c>
      <c r="N82" s="16" t="n">
        <f aca="false">L82/5</f>
        <v>0.2</v>
      </c>
      <c r="O82" s="16" t="n">
        <f aca="false">M82-N82</f>
        <v>0</v>
      </c>
    </row>
    <row r="83" customFormat="false" ht="15" hidden="false" customHeight="false" outlineLevel="0" collapsed="false">
      <c r="A83" s="16" t="n">
        <v>82</v>
      </c>
      <c r="B83" s="16" t="s">
        <v>60</v>
      </c>
      <c r="C83" s="16" t="s">
        <v>64</v>
      </c>
      <c r="D83" s="16" t="s">
        <v>301</v>
      </c>
      <c r="E83" s="16" t="s">
        <v>302</v>
      </c>
      <c r="F83" s="16" t="n">
        <v>2</v>
      </c>
      <c r="G83" s="16" t="n">
        <v>9</v>
      </c>
      <c r="H83" s="16" t="n">
        <f aca="false">F83/5</f>
        <v>0.4</v>
      </c>
      <c r="I83" s="16" t="n">
        <f aca="false">G83/5</f>
        <v>1.8</v>
      </c>
      <c r="J83" s="16" t="n">
        <f aca="false">H83-I83</f>
        <v>-1.4</v>
      </c>
      <c r="K83" s="16" t="n">
        <v>3</v>
      </c>
      <c r="L83" s="16" t="n">
        <v>2</v>
      </c>
      <c r="M83" s="16" t="n">
        <f aca="false">K83/5</f>
        <v>0.6</v>
      </c>
      <c r="N83" s="16" t="n">
        <f aca="false">L83/5</f>
        <v>0.4</v>
      </c>
      <c r="O83" s="16" t="n">
        <f aca="false">M83-N83</f>
        <v>0.2</v>
      </c>
    </row>
    <row r="84" customFormat="false" ht="15" hidden="false" customHeight="false" outlineLevel="0" collapsed="false">
      <c r="A84" s="16" t="n">
        <v>83</v>
      </c>
      <c r="B84" s="16" t="s">
        <v>78</v>
      </c>
      <c r="C84" s="16" t="s">
        <v>76</v>
      </c>
      <c r="D84" s="16" t="s">
        <v>303</v>
      </c>
      <c r="E84" s="16" t="s">
        <v>304</v>
      </c>
      <c r="F84" s="16" t="n">
        <v>3</v>
      </c>
      <c r="G84" s="16" t="n">
        <v>8</v>
      </c>
      <c r="H84" s="16" t="n">
        <f aca="false">F84/5</f>
        <v>0.6</v>
      </c>
      <c r="I84" s="16" t="n">
        <f aca="false">G84/5</f>
        <v>1.6</v>
      </c>
      <c r="J84" s="16" t="n">
        <f aca="false">H84-I84</f>
        <v>-1</v>
      </c>
      <c r="K84" s="16" t="n">
        <v>2</v>
      </c>
      <c r="L84" s="16" t="n">
        <v>1</v>
      </c>
      <c r="M84" s="16" t="n">
        <f aca="false">K84/5</f>
        <v>0.4</v>
      </c>
      <c r="N84" s="16" t="n">
        <f aca="false">L84/5</f>
        <v>0.2</v>
      </c>
      <c r="O84" s="16" t="n">
        <f aca="false">M84-N84</f>
        <v>0.2</v>
      </c>
    </row>
    <row r="85" customFormat="false" ht="15" hidden="false" customHeight="false" outlineLevel="0" collapsed="false">
      <c r="A85" s="16" t="n">
        <v>84</v>
      </c>
      <c r="B85" s="16" t="s">
        <v>55</v>
      </c>
      <c r="C85" s="16" t="s">
        <v>70</v>
      </c>
      <c r="D85" s="16" t="s">
        <v>305</v>
      </c>
      <c r="E85" s="16" t="s">
        <v>306</v>
      </c>
      <c r="F85" s="16" t="n">
        <v>2</v>
      </c>
      <c r="G85" s="16" t="n">
        <v>6</v>
      </c>
      <c r="H85" s="16" t="n">
        <f aca="false">F85/5</f>
        <v>0.4</v>
      </c>
      <c r="I85" s="16" t="n">
        <f aca="false">G85/5</f>
        <v>1.2</v>
      </c>
      <c r="J85" s="16" t="n">
        <f aca="false">H85-I85</f>
        <v>-0.8</v>
      </c>
      <c r="K85" s="16" t="n">
        <v>3</v>
      </c>
      <c r="L85" s="16" t="n">
        <v>2</v>
      </c>
      <c r="M85" s="16" t="n">
        <f aca="false">K85/5</f>
        <v>0.6</v>
      </c>
      <c r="N85" s="16" t="n">
        <f aca="false">L85/5</f>
        <v>0.4</v>
      </c>
      <c r="O85" s="16" t="n">
        <f aca="false">M85-N85</f>
        <v>0.2</v>
      </c>
    </row>
    <row r="86" customFormat="false" ht="15" hidden="false" customHeight="false" outlineLevel="0" collapsed="false">
      <c r="A86" s="16" t="n">
        <v>85</v>
      </c>
      <c r="B86" s="16" t="s">
        <v>41</v>
      </c>
      <c r="C86" s="16" t="s">
        <v>69</v>
      </c>
      <c r="D86" s="16" t="s">
        <v>307</v>
      </c>
      <c r="E86" s="16" t="s">
        <v>308</v>
      </c>
      <c r="F86" s="16" t="n">
        <v>5</v>
      </c>
      <c r="G86" s="16" t="n">
        <v>7</v>
      </c>
      <c r="H86" s="16" t="n">
        <f aca="false">F86/5</f>
        <v>1</v>
      </c>
      <c r="I86" s="16" t="n">
        <f aca="false">G86/5</f>
        <v>1.4</v>
      </c>
      <c r="J86" s="16" t="n">
        <f aca="false">H86-I86</f>
        <v>-0.4</v>
      </c>
      <c r="K86" s="16" t="n">
        <v>0</v>
      </c>
      <c r="L86" s="16" t="n">
        <v>2</v>
      </c>
      <c r="M86" s="16" t="n">
        <f aca="false">K86/5</f>
        <v>0</v>
      </c>
      <c r="N86" s="16" t="n">
        <f aca="false">L86/5</f>
        <v>0.4</v>
      </c>
      <c r="O86" s="16" t="n">
        <f aca="false">M86-N86</f>
        <v>-0.4</v>
      </c>
    </row>
    <row r="87" customFormat="false" ht="15" hidden="false" customHeight="false" outlineLevel="0" collapsed="false">
      <c r="A87" s="16" t="n">
        <v>86</v>
      </c>
      <c r="B87" s="16" t="s">
        <v>68</v>
      </c>
      <c r="C87" s="16" t="s">
        <v>56</v>
      </c>
      <c r="D87" s="16" t="s">
        <v>309</v>
      </c>
      <c r="E87" s="16" t="s">
        <v>310</v>
      </c>
      <c r="F87" s="16" t="n">
        <v>1</v>
      </c>
      <c r="G87" s="16" t="n">
        <v>5</v>
      </c>
      <c r="H87" s="16" t="n">
        <f aca="false">F87/5</f>
        <v>0.2</v>
      </c>
      <c r="I87" s="16" t="n">
        <f aca="false">G87/5</f>
        <v>1</v>
      </c>
      <c r="J87" s="16" t="n">
        <f aca="false">H87-I87</f>
        <v>-0.8</v>
      </c>
      <c r="K87" s="16" t="n">
        <v>4</v>
      </c>
      <c r="L87" s="16" t="n">
        <v>3</v>
      </c>
      <c r="M87" s="16" t="n">
        <f aca="false">K87/5</f>
        <v>0.8</v>
      </c>
      <c r="N87" s="16" t="n">
        <f aca="false">L87/5</f>
        <v>0.6</v>
      </c>
      <c r="O87" s="16" t="n">
        <f aca="false">M87-N87</f>
        <v>0.2</v>
      </c>
    </row>
    <row r="88" customFormat="false" ht="15" hidden="false" customHeight="false" outlineLevel="0" collapsed="false">
      <c r="A88" s="16" t="n">
        <v>87</v>
      </c>
      <c r="B88" s="16" t="s">
        <v>81</v>
      </c>
      <c r="C88" s="16" t="s">
        <v>73</v>
      </c>
      <c r="D88" s="16" t="s">
        <v>311</v>
      </c>
      <c r="E88" s="16" t="s">
        <v>312</v>
      </c>
      <c r="F88" s="16" t="n">
        <v>2</v>
      </c>
      <c r="G88" s="16" t="n">
        <v>5</v>
      </c>
      <c r="H88" s="16" t="n">
        <f aca="false">F88/5</f>
        <v>0.4</v>
      </c>
      <c r="I88" s="16" t="n">
        <f aca="false">G88/5</f>
        <v>1</v>
      </c>
      <c r="J88" s="16" t="n">
        <f aca="false">H88-I88</f>
        <v>-0.6</v>
      </c>
      <c r="K88" s="16" t="n">
        <v>3</v>
      </c>
      <c r="L88" s="16" t="n">
        <v>2</v>
      </c>
      <c r="M88" s="16" t="n">
        <f aca="false">K88/5</f>
        <v>0.6</v>
      </c>
      <c r="N88" s="16" t="n">
        <f aca="false">L88/5</f>
        <v>0.4</v>
      </c>
      <c r="O88" s="16" t="n">
        <f aca="false">M88-N88</f>
        <v>0.2</v>
      </c>
    </row>
    <row r="89" customFormat="false" ht="15" hidden="false" customHeight="false" outlineLevel="0" collapsed="false">
      <c r="A89" s="16" t="n">
        <v>88</v>
      </c>
      <c r="B89" s="16" t="s">
        <v>36</v>
      </c>
      <c r="C89" s="16" t="s">
        <v>61</v>
      </c>
      <c r="D89" s="16" t="s">
        <v>313</v>
      </c>
      <c r="E89" s="16" t="s">
        <v>314</v>
      </c>
      <c r="F89" s="16" t="n">
        <v>4</v>
      </c>
      <c r="G89" s="16" t="n">
        <v>5</v>
      </c>
      <c r="H89" s="16" t="n">
        <f aca="false">F89/5</f>
        <v>0.8</v>
      </c>
      <c r="I89" s="16" t="n">
        <f aca="false">G89/5</f>
        <v>1</v>
      </c>
      <c r="J89" s="16" t="n">
        <f aca="false">H89-I89</f>
        <v>-0.2</v>
      </c>
      <c r="K89" s="16" t="n">
        <v>2</v>
      </c>
      <c r="L89" s="16" t="n">
        <v>1</v>
      </c>
      <c r="M89" s="16" t="n">
        <f aca="false">K89/5</f>
        <v>0.4</v>
      </c>
      <c r="N89" s="16" t="n">
        <f aca="false">L89/5</f>
        <v>0.2</v>
      </c>
      <c r="O89" s="16" t="n">
        <f aca="false">M89-N89</f>
        <v>0.2</v>
      </c>
    </row>
    <row r="90" customFormat="false" ht="15" hidden="false" customHeight="false" outlineLevel="0" collapsed="false">
      <c r="A90" s="16" t="n">
        <v>89</v>
      </c>
      <c r="B90" s="16" t="s">
        <v>32</v>
      </c>
      <c r="C90" s="16" t="s">
        <v>63</v>
      </c>
      <c r="D90" s="16" t="s">
        <v>315</v>
      </c>
      <c r="E90" s="16" t="s">
        <v>316</v>
      </c>
      <c r="F90" s="16" t="n">
        <v>5</v>
      </c>
      <c r="G90" s="16" t="n">
        <v>3</v>
      </c>
      <c r="H90" s="16" t="n">
        <f aca="false">F90/5</f>
        <v>1</v>
      </c>
      <c r="I90" s="16" t="n">
        <f aca="false">G90/5</f>
        <v>0.6</v>
      </c>
      <c r="J90" s="16" t="n">
        <f aca="false">H90-I90</f>
        <v>0.4</v>
      </c>
      <c r="K90" s="16" t="n">
        <v>3</v>
      </c>
      <c r="L90" s="16" t="n">
        <v>2</v>
      </c>
      <c r="M90" s="16" t="n">
        <f aca="false">K90/5</f>
        <v>0.6</v>
      </c>
      <c r="N90" s="16" t="n">
        <f aca="false">L90/5</f>
        <v>0.4</v>
      </c>
      <c r="O90" s="16" t="n">
        <f aca="false">M90-N90</f>
        <v>0.2</v>
      </c>
    </row>
    <row r="91" customFormat="false" ht="15" hidden="false" customHeight="false" outlineLevel="0" collapsed="false">
      <c r="A91" s="16" t="n">
        <v>90</v>
      </c>
      <c r="B91" s="16" t="s">
        <v>28</v>
      </c>
      <c r="C91" s="16" t="s">
        <v>39</v>
      </c>
      <c r="D91" s="16" t="s">
        <v>317</v>
      </c>
      <c r="E91" s="16" t="s">
        <v>318</v>
      </c>
      <c r="F91" s="16" t="n">
        <v>4</v>
      </c>
      <c r="G91" s="16" t="n">
        <v>5</v>
      </c>
      <c r="H91" s="16" t="n">
        <f aca="false">F91/5</f>
        <v>0.8</v>
      </c>
      <c r="I91" s="16" t="n">
        <f aca="false">G91/5</f>
        <v>1</v>
      </c>
      <c r="J91" s="16" t="n">
        <f aca="false">H91-I91</f>
        <v>-0.2</v>
      </c>
      <c r="K91" s="16" t="n">
        <v>2</v>
      </c>
      <c r="L91" s="16" t="n">
        <v>1</v>
      </c>
      <c r="M91" s="16" t="n">
        <f aca="false">K91/5</f>
        <v>0.4</v>
      </c>
      <c r="N91" s="16" t="n">
        <f aca="false">L91/5</f>
        <v>0.2</v>
      </c>
      <c r="O91" s="16" t="n">
        <f aca="false">M91-N91</f>
        <v>0.2</v>
      </c>
    </row>
    <row r="92" customFormat="false" ht="15" hidden="false" customHeight="false" outlineLevel="0" collapsed="false">
      <c r="A92" s="16" t="n">
        <v>91</v>
      </c>
      <c r="B92" s="16" t="s">
        <v>38</v>
      </c>
      <c r="C92" s="16" t="s">
        <v>66</v>
      </c>
      <c r="D92" s="16" t="s">
        <v>319</v>
      </c>
      <c r="E92" s="16" t="s">
        <v>320</v>
      </c>
      <c r="F92" s="16" t="n">
        <v>3</v>
      </c>
      <c r="G92" s="16" t="n">
        <v>9</v>
      </c>
      <c r="H92" s="16" t="n">
        <f aca="false">F92/5</f>
        <v>0.6</v>
      </c>
      <c r="I92" s="16" t="n">
        <f aca="false">G92/5</f>
        <v>1.8</v>
      </c>
      <c r="J92" s="16" t="n">
        <f aca="false">H92-I92</f>
        <v>-1.2</v>
      </c>
      <c r="K92" s="16" t="n">
        <v>2</v>
      </c>
      <c r="L92" s="16" t="n">
        <v>0</v>
      </c>
      <c r="M92" s="16" t="n">
        <f aca="false">K92/5</f>
        <v>0.4</v>
      </c>
      <c r="N92" s="16" t="n">
        <f aca="false">L92/5</f>
        <v>0</v>
      </c>
      <c r="O92" s="16" t="n">
        <f aca="false">M92-N92</f>
        <v>0.4</v>
      </c>
    </row>
    <row r="93" customFormat="false" ht="15" hidden="false" customHeight="false" outlineLevel="0" collapsed="false">
      <c r="A93" s="16" t="n">
        <v>92</v>
      </c>
      <c r="B93" s="16" t="s">
        <v>22</v>
      </c>
      <c r="C93" s="16" t="s">
        <v>75</v>
      </c>
      <c r="D93" s="16" t="s">
        <v>321</v>
      </c>
      <c r="E93" s="16" t="s">
        <v>322</v>
      </c>
      <c r="F93" s="16" t="n">
        <v>1</v>
      </c>
      <c r="G93" s="16" t="n">
        <v>3</v>
      </c>
      <c r="H93" s="16" t="n">
        <f aca="false">F93/5</f>
        <v>0.2</v>
      </c>
      <c r="I93" s="16" t="n">
        <f aca="false">G93/5</f>
        <v>0.6</v>
      </c>
      <c r="J93" s="16" t="n">
        <f aca="false">H93-I93</f>
        <v>-0.4</v>
      </c>
      <c r="K93" s="16" t="n">
        <v>4</v>
      </c>
      <c r="L93" s="16" t="n">
        <v>3</v>
      </c>
      <c r="M93" s="16" t="n">
        <f aca="false">K93/5</f>
        <v>0.8</v>
      </c>
      <c r="N93" s="16" t="n">
        <f aca="false">L93/5</f>
        <v>0.6</v>
      </c>
      <c r="O93" s="16" t="n">
        <f aca="false">M93-N93</f>
        <v>0.2</v>
      </c>
    </row>
    <row r="94" customFormat="false" ht="15" hidden="false" customHeight="false" outlineLevel="0" collapsed="false">
      <c r="A94" s="16" t="n">
        <v>93</v>
      </c>
      <c r="B94" s="16" t="s">
        <v>78</v>
      </c>
      <c r="C94" s="16" t="s">
        <v>55</v>
      </c>
      <c r="D94" s="16" t="s">
        <v>323</v>
      </c>
      <c r="E94" s="16" t="s">
        <v>324</v>
      </c>
      <c r="F94" s="16" t="n">
        <v>3</v>
      </c>
      <c r="G94" s="16" t="n">
        <v>1</v>
      </c>
      <c r="H94" s="16" t="n">
        <f aca="false">F94/5</f>
        <v>0.6</v>
      </c>
      <c r="I94" s="16" t="n">
        <f aca="false">G94/5</f>
        <v>0.2</v>
      </c>
      <c r="J94" s="16" t="n">
        <f aca="false">H94-I94</f>
        <v>0.4</v>
      </c>
      <c r="K94" s="16" t="n">
        <v>2</v>
      </c>
      <c r="L94" s="16" t="n">
        <v>4</v>
      </c>
      <c r="M94" s="16" t="n">
        <f aca="false">K94/5</f>
        <v>0.4</v>
      </c>
      <c r="N94" s="16" t="n">
        <f aca="false">L94/5</f>
        <v>0.8</v>
      </c>
      <c r="O94" s="16" t="n">
        <f aca="false">M94-N94</f>
        <v>-0.4</v>
      </c>
    </row>
    <row r="95" customFormat="false" ht="15" hidden="false" customHeight="false" outlineLevel="0" collapsed="false">
      <c r="A95" s="16" t="n">
        <v>94</v>
      </c>
      <c r="B95" s="16" t="s">
        <v>31</v>
      </c>
      <c r="C95" s="16" t="s">
        <v>60</v>
      </c>
      <c r="D95" s="16" t="s">
        <v>325</v>
      </c>
      <c r="E95" s="16" t="s">
        <v>326</v>
      </c>
      <c r="F95" s="16" t="n">
        <v>6</v>
      </c>
      <c r="G95" s="16" t="n">
        <v>4</v>
      </c>
      <c r="H95" s="16" t="n">
        <f aca="false">F95/5</f>
        <v>1.2</v>
      </c>
      <c r="I95" s="16" t="n">
        <f aca="false">G95/5</f>
        <v>0.8</v>
      </c>
      <c r="J95" s="16" t="n">
        <f aca="false">H95-I95</f>
        <v>0.4</v>
      </c>
      <c r="K95" s="16" t="n">
        <v>2</v>
      </c>
      <c r="L95" s="16" t="n">
        <v>2</v>
      </c>
      <c r="M95" s="16" t="n">
        <f aca="false">K95/5</f>
        <v>0.4</v>
      </c>
      <c r="N95" s="16" t="n">
        <f aca="false">L95/5</f>
        <v>0.4</v>
      </c>
      <c r="O95" s="16" t="n">
        <f aca="false">M95-N95</f>
        <v>0</v>
      </c>
    </row>
    <row r="96" customFormat="false" ht="15" hidden="false" customHeight="false" outlineLevel="0" collapsed="false">
      <c r="A96" s="16" t="n">
        <v>95</v>
      </c>
      <c r="B96" s="16" t="s">
        <v>68</v>
      </c>
      <c r="C96" s="16" t="s">
        <v>61</v>
      </c>
      <c r="D96" s="16" t="s">
        <v>327</v>
      </c>
      <c r="E96" s="16" t="s">
        <v>328</v>
      </c>
      <c r="F96" s="16" t="n">
        <v>3</v>
      </c>
      <c r="G96" s="16" t="n">
        <v>6</v>
      </c>
      <c r="H96" s="16" t="n">
        <f aca="false">F96/5</f>
        <v>0.6</v>
      </c>
      <c r="I96" s="16" t="n">
        <f aca="false">G96/5</f>
        <v>1.2</v>
      </c>
      <c r="J96" s="16" t="n">
        <f aca="false">H96-I96</f>
        <v>-0.6</v>
      </c>
      <c r="K96" s="16" t="n">
        <v>3</v>
      </c>
      <c r="L96" s="16" t="n">
        <v>0</v>
      </c>
      <c r="M96" s="16" t="n">
        <f aca="false">K96/5</f>
        <v>0.6</v>
      </c>
      <c r="N96" s="16" t="n">
        <f aca="false">L96/5</f>
        <v>0</v>
      </c>
      <c r="O96" s="16" t="n">
        <f aca="false">M96-N96</f>
        <v>0.6</v>
      </c>
    </row>
    <row r="97" customFormat="false" ht="15" hidden="false" customHeight="false" outlineLevel="0" collapsed="false">
      <c r="A97" s="16" t="n">
        <v>96</v>
      </c>
      <c r="B97" s="16" t="s">
        <v>41</v>
      </c>
      <c r="C97" s="16" t="s">
        <v>81</v>
      </c>
      <c r="D97" s="16" t="s">
        <v>329</v>
      </c>
      <c r="E97" s="16" t="s">
        <v>330</v>
      </c>
      <c r="F97" s="16" t="n">
        <v>4</v>
      </c>
      <c r="G97" s="16" t="n">
        <v>1</v>
      </c>
      <c r="H97" s="16" t="n">
        <f aca="false">F97/5</f>
        <v>0.8</v>
      </c>
      <c r="I97" s="16" t="n">
        <f aca="false">G97/5</f>
        <v>0.2</v>
      </c>
      <c r="J97" s="16" t="n">
        <f aca="false">H97-I97</f>
        <v>0.6</v>
      </c>
      <c r="K97" s="16" t="n">
        <v>1</v>
      </c>
      <c r="L97" s="16" t="n">
        <v>4</v>
      </c>
      <c r="M97" s="16" t="n">
        <f aca="false">K97/5</f>
        <v>0.2</v>
      </c>
      <c r="N97" s="16" t="n">
        <f aca="false">L97/5</f>
        <v>0.8</v>
      </c>
      <c r="O97" s="16" t="n">
        <f aca="false">M97-N97</f>
        <v>-0.6</v>
      </c>
    </row>
    <row r="98" customFormat="false" ht="15" hidden="false" customHeight="false" outlineLevel="0" collapsed="false">
      <c r="A98" s="16" t="n">
        <v>97</v>
      </c>
      <c r="B98" s="16" t="s">
        <v>63</v>
      </c>
      <c r="C98" s="16" t="s">
        <v>39</v>
      </c>
      <c r="D98" s="16" t="s">
        <v>331</v>
      </c>
      <c r="E98" s="16" t="s">
        <v>332</v>
      </c>
      <c r="F98" s="16" t="n">
        <v>2</v>
      </c>
      <c r="G98" s="16" t="n">
        <v>4</v>
      </c>
      <c r="H98" s="16" t="n">
        <f aca="false">F98/5</f>
        <v>0.4</v>
      </c>
      <c r="I98" s="16" t="n">
        <f aca="false">G98/5</f>
        <v>0.8</v>
      </c>
      <c r="J98" s="16" t="n">
        <f aca="false">H98-I98</f>
        <v>-0.4</v>
      </c>
      <c r="K98" s="16" t="n">
        <v>3</v>
      </c>
      <c r="L98" s="16" t="n">
        <v>2</v>
      </c>
      <c r="M98" s="16" t="n">
        <f aca="false">K98/5</f>
        <v>0.6</v>
      </c>
      <c r="N98" s="16" t="n">
        <f aca="false">L98/5</f>
        <v>0.4</v>
      </c>
      <c r="O98" s="16" t="n">
        <f aca="false">M98-N98</f>
        <v>0.2</v>
      </c>
    </row>
    <row r="99" customFormat="false" ht="15" hidden="false" customHeight="false" outlineLevel="0" collapsed="false">
      <c r="A99" s="16" t="n">
        <v>98</v>
      </c>
      <c r="B99" s="16" t="s">
        <v>55</v>
      </c>
      <c r="C99" s="16" t="s">
        <v>60</v>
      </c>
      <c r="D99" s="16" t="s">
        <v>333</v>
      </c>
      <c r="E99" s="16" t="s">
        <v>334</v>
      </c>
      <c r="F99" s="16" t="n">
        <v>0</v>
      </c>
      <c r="G99" s="16" t="n">
        <v>5</v>
      </c>
      <c r="H99" s="16" t="n">
        <f aca="false">F99/5</f>
        <v>0</v>
      </c>
      <c r="I99" s="16" t="n">
        <f aca="false">G99/5</f>
        <v>1</v>
      </c>
      <c r="J99" s="16" t="n">
        <f aca="false">H99-I99</f>
        <v>-1</v>
      </c>
      <c r="K99" s="16" t="n">
        <v>5</v>
      </c>
      <c r="L99" s="16" t="n">
        <v>1</v>
      </c>
      <c r="M99" s="16" t="n">
        <f aca="false">K99/5</f>
        <v>1</v>
      </c>
      <c r="N99" s="16" t="n">
        <f aca="false">L99/5</f>
        <v>0.2</v>
      </c>
      <c r="O99" s="16" t="n">
        <f aca="false">M99-N99</f>
        <v>0.8</v>
      </c>
    </row>
    <row r="100" customFormat="false" ht="15" hidden="false" customHeight="false" outlineLevel="0" collapsed="false">
      <c r="A100" s="16" t="n">
        <v>99</v>
      </c>
      <c r="B100" s="16" t="s">
        <v>66</v>
      </c>
      <c r="C100" s="16" t="s">
        <v>75</v>
      </c>
      <c r="D100" s="16" t="s">
        <v>335</v>
      </c>
      <c r="E100" s="16" t="s">
        <v>336</v>
      </c>
      <c r="F100" s="16" t="n">
        <v>9</v>
      </c>
      <c r="G100" s="16" t="n">
        <v>5</v>
      </c>
      <c r="H100" s="16" t="n">
        <f aca="false">F100/5</f>
        <v>1.8</v>
      </c>
      <c r="I100" s="16" t="n">
        <f aca="false">G100/5</f>
        <v>1</v>
      </c>
      <c r="J100" s="16" t="n">
        <f aca="false">H100-I100</f>
        <v>0.8</v>
      </c>
      <c r="K100" s="16" t="n">
        <v>0</v>
      </c>
      <c r="L100" s="16" t="n">
        <v>2</v>
      </c>
      <c r="M100" s="16" t="n">
        <f aca="false">K100/5</f>
        <v>0</v>
      </c>
      <c r="N100" s="16" t="n">
        <f aca="false">L100/5</f>
        <v>0.4</v>
      </c>
      <c r="O100" s="16" t="n">
        <f aca="false">M100-N100</f>
        <v>-0.4</v>
      </c>
    </row>
    <row r="101" customFormat="false" ht="15" hidden="false" customHeight="false" outlineLevel="0" collapsed="false">
      <c r="A101" s="16" t="n">
        <v>100</v>
      </c>
      <c r="B101" s="16" t="s">
        <v>68</v>
      </c>
      <c r="C101" s="16" t="s">
        <v>41</v>
      </c>
      <c r="D101" s="16" t="s">
        <v>337</v>
      </c>
      <c r="E101" s="16" t="s">
        <v>338</v>
      </c>
      <c r="F101" s="16" t="n">
        <v>5</v>
      </c>
      <c r="G101" s="16" t="n">
        <v>3</v>
      </c>
      <c r="H101" s="16" t="n">
        <f aca="false">F101/5</f>
        <v>1</v>
      </c>
      <c r="I101" s="16" t="n">
        <f aca="false">G101/5</f>
        <v>0.6</v>
      </c>
      <c r="J101" s="16" t="n">
        <f aca="false">H101-I101</f>
        <v>0.4</v>
      </c>
      <c r="K101" s="16" t="n">
        <v>2</v>
      </c>
      <c r="L101" s="16" t="n">
        <v>2</v>
      </c>
      <c r="M101" s="16" t="n">
        <f aca="false">K101/5</f>
        <v>0.4</v>
      </c>
      <c r="N101" s="16" t="n">
        <f aca="false">L101/5</f>
        <v>0.4</v>
      </c>
      <c r="O101" s="16" t="n">
        <f aca="false">M101-N101</f>
        <v>0</v>
      </c>
    </row>
    <row r="102" customFormat="false" ht="15" hidden="false" customHeight="false" outlineLevel="0" collapsed="false">
      <c r="A102" s="16" t="n">
        <v>101</v>
      </c>
      <c r="B102" s="16" t="s">
        <v>63</v>
      </c>
      <c r="C102" s="16" t="s">
        <v>55</v>
      </c>
      <c r="D102" s="16" t="s">
        <v>339</v>
      </c>
      <c r="E102" s="16" t="s">
        <v>340</v>
      </c>
      <c r="F102" s="16" t="n">
        <v>1</v>
      </c>
      <c r="G102" s="16" t="n">
        <v>1</v>
      </c>
      <c r="H102" s="16" t="n">
        <f aca="false">F102/5</f>
        <v>0.2</v>
      </c>
      <c r="I102" s="16" t="n">
        <f aca="false">G102/5</f>
        <v>0.2</v>
      </c>
      <c r="J102" s="16" t="n">
        <f aca="false">H102-I102</f>
        <v>0</v>
      </c>
      <c r="K102" s="16" t="n">
        <v>4</v>
      </c>
      <c r="L102" s="16" t="n">
        <v>4</v>
      </c>
      <c r="M102" s="16" t="n">
        <f aca="false">K102/5</f>
        <v>0.8</v>
      </c>
      <c r="N102" s="16" t="n">
        <f aca="false">L102/5</f>
        <v>0.8</v>
      </c>
      <c r="O102" s="16" t="n">
        <f aca="false">M102-N102</f>
        <v>0</v>
      </c>
    </row>
    <row r="103" customFormat="false" ht="15" hidden="false" customHeight="false" outlineLevel="0" collapsed="false">
      <c r="A103" s="16" t="n">
        <v>102</v>
      </c>
      <c r="B103" s="16" t="s">
        <v>75</v>
      </c>
      <c r="C103" s="16" t="s">
        <v>68</v>
      </c>
      <c r="D103" s="16" t="s">
        <v>341</v>
      </c>
      <c r="E103" s="16" t="s">
        <v>342</v>
      </c>
      <c r="F103" s="16" t="n">
        <v>4</v>
      </c>
      <c r="G103" s="16" t="n">
        <v>6</v>
      </c>
      <c r="H103" s="16" t="n">
        <f aca="false">F103/5</f>
        <v>0.8</v>
      </c>
      <c r="I103" s="16" t="n">
        <f aca="false">G103/5</f>
        <v>1.2</v>
      </c>
      <c r="J103" s="16" t="n">
        <f aca="false">H103-I103</f>
        <v>-0.4</v>
      </c>
      <c r="K103" s="16" t="n">
        <v>2</v>
      </c>
      <c r="L103" s="16" t="n">
        <v>1</v>
      </c>
      <c r="M103" s="16" t="n">
        <f aca="false">K103/5</f>
        <v>0.4</v>
      </c>
      <c r="N103" s="16" t="n">
        <f aca="false">L103/5</f>
        <v>0.2</v>
      </c>
      <c r="O103" s="16" t="n">
        <f aca="false">M103-N103</f>
        <v>0.2</v>
      </c>
    </row>
    <row r="104" customFormat="false" ht="15" hidden="false" customHeight="false" outlineLevel="0" collapsed="false">
      <c r="A104" s="16" t="n">
        <v>103</v>
      </c>
      <c r="B104" s="16" t="s">
        <v>63</v>
      </c>
      <c r="C104" s="16" t="s">
        <v>75</v>
      </c>
      <c r="D104" s="16" t="s">
        <v>343</v>
      </c>
      <c r="E104" s="16" t="s">
        <v>344</v>
      </c>
      <c r="F104" s="16" t="n">
        <v>3</v>
      </c>
      <c r="G104" s="16" t="n">
        <v>6</v>
      </c>
      <c r="H104" s="16" t="n">
        <f aca="false">F104/5</f>
        <v>0.6</v>
      </c>
      <c r="I104" s="16" t="n">
        <f aca="false">G104/5</f>
        <v>1.2</v>
      </c>
      <c r="J104" s="16" t="n">
        <f aca="false">H104-I104</f>
        <v>-0.6</v>
      </c>
      <c r="K104" s="16" t="n">
        <v>3</v>
      </c>
      <c r="L104" s="16" t="n">
        <v>1</v>
      </c>
      <c r="M104" s="16" t="n">
        <f aca="false">K104/5</f>
        <v>0.6</v>
      </c>
      <c r="N104" s="16" t="n">
        <f aca="false">L104/5</f>
        <v>0.2</v>
      </c>
      <c r="O104" s="16" t="n">
        <f aca="false">M104-N104</f>
        <v>0.4</v>
      </c>
    </row>
    <row r="105" customFormat="false" ht="15" hidden="false" customHeight="false" outlineLevel="0" collapsed="false">
      <c r="A105" s="16" t="n">
        <v>104</v>
      </c>
      <c r="B105" s="16" t="s">
        <v>55</v>
      </c>
      <c r="C105" s="16" t="s">
        <v>68</v>
      </c>
      <c r="D105" s="16" t="s">
        <v>345</v>
      </c>
      <c r="E105" s="16" t="s">
        <v>346</v>
      </c>
      <c r="F105" s="16" t="n">
        <v>1</v>
      </c>
      <c r="G105" s="16" t="n">
        <v>7</v>
      </c>
      <c r="H105" s="16" t="n">
        <f aca="false">F105/5</f>
        <v>0.2</v>
      </c>
      <c r="I105" s="16" t="n">
        <f aca="false">G105/5</f>
        <v>1.4</v>
      </c>
      <c r="J105" s="16" t="n">
        <f aca="false">H105-I105</f>
        <v>-1.2</v>
      </c>
      <c r="K105" s="16" t="n">
        <v>4</v>
      </c>
      <c r="L105" s="16" t="n">
        <v>0</v>
      </c>
      <c r="M105" s="16" t="n">
        <f aca="false">K105/5</f>
        <v>0.8</v>
      </c>
      <c r="N105" s="16" t="n">
        <f aca="false">L105/5</f>
        <v>0</v>
      </c>
      <c r="O105" s="16" t="n">
        <f aca="false">M105-N105</f>
        <v>0.8</v>
      </c>
    </row>
    <row r="107" customFormat="false" ht="15" hidden="false" customHeight="false" outlineLevel="0" collapsed="false">
      <c r="A107" s="17" t="s">
        <v>347</v>
      </c>
    </row>
    <row r="108" customFormat="false" ht="15" hidden="false" customHeight="false" outlineLevel="0" collapsed="false">
      <c r="A108" s="16" t="s">
        <v>348</v>
      </c>
    </row>
    <row r="109" customFormat="false" ht="15" hidden="false" customHeight="false" outlineLevel="0" collapsed="false">
      <c r="A109" s="16" t="s">
        <v>349</v>
      </c>
    </row>
    <row r="110" customFormat="false" ht="15" hidden="false" customHeight="false" outlineLevel="0" collapsed="false">
      <c r="A110" s="16" t="s">
        <v>350</v>
      </c>
    </row>
    <row r="111" customFormat="false" ht="15" hidden="false" customHeight="false" outlineLevel="0" collapsed="false">
      <c r="A111" s="16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2026-10-13T04:08:56Z</dcterms:created>
  <dc:creator/>
  <dc:description/>
  <dc:language>en-US</dc:language>
  <cp:lastModifiedBy>Suraj Devkota</cp:lastModifiedBy>
  <dcterms:modified xsi:type="dcterms:W3CDTF">2026-10-13T05:09:49Z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0x01010017D7F192E28B844A80928816BC034C36</vt:lpwstr>
  </property>
  <property fmtid="{D5CDD505-2E9C-101B-9397-08002B2CF9AE}" pid="3" name="MediaServiceImageTags">
    <vt:lpwstr/>
  </property>
</Properties>
</file>